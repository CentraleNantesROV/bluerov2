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 ME FIRST" sheetId="1" state="visible" r:id="rId3"/>
    <sheet name="10 V" sheetId="2" state="visible" r:id="rId4"/>
    <sheet name="12 V" sheetId="3" state="visible" r:id="rId5"/>
    <sheet name="14 V" sheetId="4" state="visible" r:id="rId6"/>
    <sheet name="16 V" sheetId="5" state="visible" r:id="rId7"/>
    <sheet name="18 V" sheetId="6" state="visible" r:id="rId8"/>
    <sheet name="20 V" sheetId="7" state="visible" r:id="rId9"/>
  </sheets>
  <definedNames>
    <definedName function="false" hidden="true" localSheetId="4" name="_xlnm._FilterDatabase" vbProcedure="false">'16 V'!$A$3:$V$204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<sst xmlns="http://schemas.openxmlformats.org/spreadsheetml/2006/main" count="57" uniqueCount="22">
  <si>
    <t xml:space="preserve"> PWM (µs)</t>
  </si>
  <si>
    <t xml:space="preserve"> RPM</t>
  </si>
  <si>
    <t xml:space="preserve"> Current (A)</t>
  </si>
  <si>
    <t xml:space="preserve"> Voltage (V)</t>
  </si>
  <si>
    <t xml:space="preserve"> Power (W)</t>
  </si>
  <si>
    <t xml:space="preserve"> Force (Kg f)</t>
  </si>
  <si>
    <t xml:space="preserve"> Efficiency (g/W)</t>
  </si>
  <si>
    <t xml:space="preserve">rad/s</t>
  </si>
  <si>
    <t xml:space="preserve">Signed RPM</t>
  </si>
  <si>
    <t xml:space="preserve">Rho.D**4.w**2</t>
  </si>
  <si>
    <t xml:space="preserve">Thrust [N]</t>
  </si>
  <si>
    <t xml:space="preserve">Fossen mean</t>
  </si>
  <si>
    <t xml:space="preserve">Fossen man</t>
  </si>
  <si>
    <t xml:space="preserve">raw ratio</t>
  </si>
  <si>
    <t xml:space="preserve">rotorConstant</t>
  </si>
  <si>
    <t xml:space="preserve">density</t>
  </si>
  <si>
    <t xml:space="preserve">diameter</t>
  </si>
  <si>
    <t xml:space="preserve">interp table</t>
  </si>
  <si>
    <t xml:space="preserve">pwm</t>
  </si>
  <si>
    <t xml:space="preserve">rpm</t>
  </si>
  <si>
    <t xml:space="preserve">RAD/S</t>
  </si>
  <si>
    <t xml:space="preserve">thrust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</si>
</sst>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1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  <font>
      <sz val="11"/>
      <color rgb="FF000000"/>
      <name val="Times New Roman"/>
      <family val="0"/>
    </font>
    <font>
      <sz val="11"/>
      <color rgb="FF000000"/>
      <name val="Calibri"/>
      <family val="0"/>
    </font>
    <font>
      <u val="single"/>
      <sz val="11"/>
      <color rgb="FF4472C4"/>
      <name val="Calibri"/>
      <family val="0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'16 V'!$K$3</c:f>
              <c:strCache>
                <c:ptCount val="1"/>
                <c:pt idx="0">
                  <c:v>Thrust [N]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'16 V'!$I$4:$I$204</c:f>
              <c:numCache>
                <c:formatCode>General</c:formatCode>
                <c:ptCount val="201"/>
                <c:pt idx="0">
                  <c:v>-3464.71333333333</c:v>
                </c:pt>
                <c:pt idx="1">
                  <c:v>-3468.01</c:v>
                </c:pt>
                <c:pt idx="2">
                  <c:v>-3449.07</c:v>
                </c:pt>
                <c:pt idx="3">
                  <c:v>-3421.12</c:v>
                </c:pt>
                <c:pt idx="4">
                  <c:v>-3409.95</c:v>
                </c:pt>
                <c:pt idx="5">
                  <c:v>-3394.78</c:v>
                </c:pt>
                <c:pt idx="6">
                  <c:v>-3373.93</c:v>
                </c:pt>
                <c:pt idx="7">
                  <c:v>-3356.28</c:v>
                </c:pt>
                <c:pt idx="8">
                  <c:v>-3323.16</c:v>
                </c:pt>
                <c:pt idx="9">
                  <c:v>-3306.57</c:v>
                </c:pt>
                <c:pt idx="10">
                  <c:v>-3282.25</c:v>
                </c:pt>
                <c:pt idx="11">
                  <c:v>-3247.62</c:v>
                </c:pt>
                <c:pt idx="12">
                  <c:v>-3223.24</c:v>
                </c:pt>
                <c:pt idx="13">
                  <c:v>-3207.09</c:v>
                </c:pt>
                <c:pt idx="14">
                  <c:v>-3176.96</c:v>
                </c:pt>
                <c:pt idx="15">
                  <c:v>-3152.96</c:v>
                </c:pt>
                <c:pt idx="16">
                  <c:v>-3111.45</c:v>
                </c:pt>
                <c:pt idx="17">
                  <c:v>-3086.3</c:v>
                </c:pt>
                <c:pt idx="18">
                  <c:v>-3061.4</c:v>
                </c:pt>
                <c:pt idx="19">
                  <c:v>-3049.78</c:v>
                </c:pt>
                <c:pt idx="20">
                  <c:v>-3003.32</c:v>
                </c:pt>
                <c:pt idx="21">
                  <c:v>-2987.73</c:v>
                </c:pt>
                <c:pt idx="22">
                  <c:v>-2952.33</c:v>
                </c:pt>
                <c:pt idx="23">
                  <c:v>-2918.2</c:v>
                </c:pt>
                <c:pt idx="24">
                  <c:v>-2895.86</c:v>
                </c:pt>
                <c:pt idx="25">
                  <c:v>-2864.72</c:v>
                </c:pt>
                <c:pt idx="26">
                  <c:v>-2845.12</c:v>
                </c:pt>
                <c:pt idx="27">
                  <c:v>-2821.23</c:v>
                </c:pt>
                <c:pt idx="28">
                  <c:v>-2792.39</c:v>
                </c:pt>
                <c:pt idx="29">
                  <c:v>-2758.52</c:v>
                </c:pt>
                <c:pt idx="30">
                  <c:v>-2736.37</c:v>
                </c:pt>
                <c:pt idx="31">
                  <c:v>-2712.08</c:v>
                </c:pt>
                <c:pt idx="32">
                  <c:v>-2681.26</c:v>
                </c:pt>
                <c:pt idx="33">
                  <c:v>-2660.64</c:v>
                </c:pt>
                <c:pt idx="34">
                  <c:v>-2629</c:v>
                </c:pt>
                <c:pt idx="35">
                  <c:v>-2598.64</c:v>
                </c:pt>
                <c:pt idx="36">
                  <c:v>-2575.93</c:v>
                </c:pt>
                <c:pt idx="37">
                  <c:v>-2547.87</c:v>
                </c:pt>
                <c:pt idx="38">
                  <c:v>-2517.32</c:v>
                </c:pt>
                <c:pt idx="39">
                  <c:v>-2482.17</c:v>
                </c:pt>
                <c:pt idx="40">
                  <c:v>-2440.17</c:v>
                </c:pt>
                <c:pt idx="41">
                  <c:v>-2418.69</c:v>
                </c:pt>
                <c:pt idx="42">
                  <c:v>-2369.48</c:v>
                </c:pt>
                <c:pt idx="43">
                  <c:v>-2345.45</c:v>
                </c:pt>
                <c:pt idx="44">
                  <c:v>-2306.38</c:v>
                </c:pt>
                <c:pt idx="45">
                  <c:v>-2277.85</c:v>
                </c:pt>
                <c:pt idx="46">
                  <c:v>-2248.15</c:v>
                </c:pt>
                <c:pt idx="47">
                  <c:v>-2222.36</c:v>
                </c:pt>
                <c:pt idx="48">
                  <c:v>-2198.72</c:v>
                </c:pt>
                <c:pt idx="49">
                  <c:v>-2156.96</c:v>
                </c:pt>
                <c:pt idx="50">
                  <c:v>-2140.15</c:v>
                </c:pt>
                <c:pt idx="51">
                  <c:v>-2105.77</c:v>
                </c:pt>
                <c:pt idx="52">
                  <c:v>-2081.37</c:v>
                </c:pt>
                <c:pt idx="53">
                  <c:v>-2039.83</c:v>
                </c:pt>
                <c:pt idx="54">
                  <c:v>-2001.27</c:v>
                </c:pt>
                <c:pt idx="55">
                  <c:v>-1968.2</c:v>
                </c:pt>
                <c:pt idx="56">
                  <c:v>-1935.5</c:v>
                </c:pt>
                <c:pt idx="57">
                  <c:v>-1902.76</c:v>
                </c:pt>
                <c:pt idx="58">
                  <c:v>-1869.56</c:v>
                </c:pt>
                <c:pt idx="59">
                  <c:v>-1839.98</c:v>
                </c:pt>
                <c:pt idx="60">
                  <c:v>-1807.39</c:v>
                </c:pt>
                <c:pt idx="61">
                  <c:v>-1773.08</c:v>
                </c:pt>
                <c:pt idx="62">
                  <c:v>-1737.6</c:v>
                </c:pt>
                <c:pt idx="63">
                  <c:v>-1704.96</c:v>
                </c:pt>
                <c:pt idx="64">
                  <c:v>-1667.06</c:v>
                </c:pt>
                <c:pt idx="65">
                  <c:v>-1630.35</c:v>
                </c:pt>
                <c:pt idx="66">
                  <c:v>-1589.17</c:v>
                </c:pt>
                <c:pt idx="67">
                  <c:v>-1553.88</c:v>
                </c:pt>
                <c:pt idx="68">
                  <c:v>-1518.54</c:v>
                </c:pt>
                <c:pt idx="69">
                  <c:v>-1481.78</c:v>
                </c:pt>
                <c:pt idx="70">
                  <c:v>-1448.45</c:v>
                </c:pt>
                <c:pt idx="71">
                  <c:v>-1409.65</c:v>
                </c:pt>
                <c:pt idx="72">
                  <c:v>-1362.08</c:v>
                </c:pt>
                <c:pt idx="73">
                  <c:v>-1324.67</c:v>
                </c:pt>
                <c:pt idx="74">
                  <c:v>-1284.84</c:v>
                </c:pt>
                <c:pt idx="75">
                  <c:v>-1246.14</c:v>
                </c:pt>
                <c:pt idx="76">
                  <c:v>-1199.38</c:v>
                </c:pt>
                <c:pt idx="77">
                  <c:v>-1152.94</c:v>
                </c:pt>
                <c:pt idx="78">
                  <c:v>-1112.71</c:v>
                </c:pt>
                <c:pt idx="79">
                  <c:v>-1064.11</c:v>
                </c:pt>
                <c:pt idx="80">
                  <c:v>-1016.48</c:v>
                </c:pt>
                <c:pt idx="81">
                  <c:v>-969.68</c:v>
                </c:pt>
                <c:pt idx="82">
                  <c:v>-916.03</c:v>
                </c:pt>
                <c:pt idx="83">
                  <c:v>-868.6</c:v>
                </c:pt>
                <c:pt idx="84">
                  <c:v>-809.94</c:v>
                </c:pt>
                <c:pt idx="85">
                  <c:v>-758.15</c:v>
                </c:pt>
                <c:pt idx="86">
                  <c:v>-697.28</c:v>
                </c:pt>
                <c:pt idx="87">
                  <c:v>-641.26</c:v>
                </c:pt>
                <c:pt idx="88">
                  <c:v>-577.81</c:v>
                </c:pt>
                <c:pt idx="89">
                  <c:v>-513.25</c:v>
                </c:pt>
                <c:pt idx="90">
                  <c:v>-449.5</c:v>
                </c:pt>
                <c:pt idx="91">
                  <c:v>-388.48</c:v>
                </c:pt>
                <c:pt idx="92">
                  <c:v>-317.17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308.25</c:v>
                </c:pt>
                <c:pt idx="109">
                  <c:v>374.8</c:v>
                </c:pt>
                <c:pt idx="110">
                  <c:v>440.8</c:v>
                </c:pt>
                <c:pt idx="111">
                  <c:v>508.01</c:v>
                </c:pt>
                <c:pt idx="112">
                  <c:v>572.86</c:v>
                </c:pt>
                <c:pt idx="113">
                  <c:v>630.43</c:v>
                </c:pt>
                <c:pt idx="114">
                  <c:v>688.25</c:v>
                </c:pt>
                <c:pt idx="115">
                  <c:v>749.32</c:v>
                </c:pt>
                <c:pt idx="116">
                  <c:v>803.61</c:v>
                </c:pt>
                <c:pt idx="117">
                  <c:v>859.4</c:v>
                </c:pt>
                <c:pt idx="118">
                  <c:v>906.13</c:v>
                </c:pt>
                <c:pt idx="119">
                  <c:v>961.53</c:v>
                </c:pt>
                <c:pt idx="120">
                  <c:v>1007.38</c:v>
                </c:pt>
                <c:pt idx="121">
                  <c:v>1056.66</c:v>
                </c:pt>
                <c:pt idx="122">
                  <c:v>1104.32</c:v>
                </c:pt>
                <c:pt idx="123">
                  <c:v>1147.5</c:v>
                </c:pt>
                <c:pt idx="124">
                  <c:v>1194.61</c:v>
                </c:pt>
                <c:pt idx="125">
                  <c:v>1237.07</c:v>
                </c:pt>
                <c:pt idx="126">
                  <c:v>1278.89</c:v>
                </c:pt>
                <c:pt idx="127">
                  <c:v>1319.08</c:v>
                </c:pt>
                <c:pt idx="128">
                  <c:v>1359.21</c:v>
                </c:pt>
                <c:pt idx="129">
                  <c:v>1408.65</c:v>
                </c:pt>
                <c:pt idx="130">
                  <c:v>1443.5</c:v>
                </c:pt>
                <c:pt idx="131">
                  <c:v>1479.63</c:v>
                </c:pt>
                <c:pt idx="132">
                  <c:v>1516.03</c:v>
                </c:pt>
                <c:pt idx="133">
                  <c:v>1548.64</c:v>
                </c:pt>
                <c:pt idx="134">
                  <c:v>1583.02</c:v>
                </c:pt>
                <c:pt idx="135">
                  <c:v>1628.86</c:v>
                </c:pt>
                <c:pt idx="136">
                  <c:v>1668.42</c:v>
                </c:pt>
                <c:pt idx="137">
                  <c:v>1699.09</c:v>
                </c:pt>
                <c:pt idx="138">
                  <c:v>1739.95</c:v>
                </c:pt>
                <c:pt idx="139">
                  <c:v>1766.18</c:v>
                </c:pt>
                <c:pt idx="140">
                  <c:v>1802.32</c:v>
                </c:pt>
                <c:pt idx="141">
                  <c:v>1835.1</c:v>
                </c:pt>
                <c:pt idx="142">
                  <c:v>1865.47</c:v>
                </c:pt>
                <c:pt idx="143">
                  <c:v>1900.85</c:v>
                </c:pt>
                <c:pt idx="144">
                  <c:v>1929.78</c:v>
                </c:pt>
                <c:pt idx="145">
                  <c:v>1960.82</c:v>
                </c:pt>
                <c:pt idx="146">
                  <c:v>1994.08</c:v>
                </c:pt>
                <c:pt idx="147">
                  <c:v>2030.99</c:v>
                </c:pt>
                <c:pt idx="148">
                  <c:v>2071.37</c:v>
                </c:pt>
                <c:pt idx="149">
                  <c:v>2106.28</c:v>
                </c:pt>
                <c:pt idx="150">
                  <c:v>2128.7</c:v>
                </c:pt>
                <c:pt idx="151">
                  <c:v>2160.39</c:v>
                </c:pt>
                <c:pt idx="152">
                  <c:v>2189.6</c:v>
                </c:pt>
                <c:pt idx="153">
                  <c:v>2219.18</c:v>
                </c:pt>
                <c:pt idx="154">
                  <c:v>2243.76</c:v>
                </c:pt>
                <c:pt idx="155">
                  <c:v>2266.35</c:v>
                </c:pt>
                <c:pt idx="156">
                  <c:v>2305.35</c:v>
                </c:pt>
                <c:pt idx="157">
                  <c:v>2341.59</c:v>
                </c:pt>
                <c:pt idx="158">
                  <c:v>2391.8</c:v>
                </c:pt>
                <c:pt idx="159">
                  <c:v>2415.81</c:v>
                </c:pt>
                <c:pt idx="160">
                  <c:v>2445.98</c:v>
                </c:pt>
                <c:pt idx="161">
                  <c:v>2475.13</c:v>
                </c:pt>
                <c:pt idx="162">
                  <c:v>2497.91</c:v>
                </c:pt>
                <c:pt idx="163">
                  <c:v>2537.88</c:v>
                </c:pt>
                <c:pt idx="164">
                  <c:v>2583.51</c:v>
                </c:pt>
                <c:pt idx="165">
                  <c:v>2608.66</c:v>
                </c:pt>
                <c:pt idx="166">
                  <c:v>2639.26</c:v>
                </c:pt>
                <c:pt idx="167">
                  <c:v>2663.25</c:v>
                </c:pt>
                <c:pt idx="168">
                  <c:v>2688.12</c:v>
                </c:pt>
                <c:pt idx="169">
                  <c:v>2710.8</c:v>
                </c:pt>
                <c:pt idx="170">
                  <c:v>2735.48</c:v>
                </c:pt>
                <c:pt idx="171">
                  <c:v>2765.9</c:v>
                </c:pt>
                <c:pt idx="172">
                  <c:v>2809.4</c:v>
                </c:pt>
                <c:pt idx="173">
                  <c:v>2822.46</c:v>
                </c:pt>
                <c:pt idx="174">
                  <c:v>2853.6</c:v>
                </c:pt>
                <c:pt idx="175">
                  <c:v>2888</c:v>
                </c:pt>
                <c:pt idx="176">
                  <c:v>2903.17</c:v>
                </c:pt>
                <c:pt idx="177">
                  <c:v>2933.63</c:v>
                </c:pt>
                <c:pt idx="178">
                  <c:v>2973.17</c:v>
                </c:pt>
                <c:pt idx="179">
                  <c:v>3001.72</c:v>
                </c:pt>
                <c:pt idx="180">
                  <c:v>3041.86</c:v>
                </c:pt>
                <c:pt idx="181">
                  <c:v>3065.09</c:v>
                </c:pt>
                <c:pt idx="182">
                  <c:v>3107.61</c:v>
                </c:pt>
                <c:pt idx="183">
                  <c:v>3124.51</c:v>
                </c:pt>
                <c:pt idx="184">
                  <c:v>3153.38</c:v>
                </c:pt>
                <c:pt idx="185">
                  <c:v>3180.33</c:v>
                </c:pt>
                <c:pt idx="186">
                  <c:v>3204.34</c:v>
                </c:pt>
                <c:pt idx="187">
                  <c:v>3242.32</c:v>
                </c:pt>
                <c:pt idx="188">
                  <c:v>3260.1</c:v>
                </c:pt>
                <c:pt idx="189">
                  <c:v>3299.33</c:v>
                </c:pt>
                <c:pt idx="190">
                  <c:v>3307.84</c:v>
                </c:pt>
                <c:pt idx="191">
                  <c:v>3351.13</c:v>
                </c:pt>
                <c:pt idx="192">
                  <c:v>3378.76</c:v>
                </c:pt>
                <c:pt idx="193">
                  <c:v>3405.6</c:v>
                </c:pt>
                <c:pt idx="194">
                  <c:v>3427.86</c:v>
                </c:pt>
                <c:pt idx="195">
                  <c:v>3437.91</c:v>
                </c:pt>
                <c:pt idx="196">
                  <c:v>3454.99</c:v>
                </c:pt>
                <c:pt idx="197">
                  <c:v>3493.84</c:v>
                </c:pt>
                <c:pt idx="198">
                  <c:v>3515.95</c:v>
                </c:pt>
                <c:pt idx="199">
                  <c:v>3527.23</c:v>
                </c:pt>
                <c:pt idx="200">
                  <c:v>3533.445</c:v>
                </c:pt>
              </c:numCache>
            </c:numRef>
          </c:xVal>
          <c:yVal>
            <c:numRef>
              <c:f>'16 V'!$K$4:$K$204</c:f>
              <c:numCache>
                <c:formatCode>General</c:formatCode>
                <c:ptCount val="201"/>
                <c:pt idx="0">
                  <c:v>-39.9215617836</c:v>
                </c:pt>
                <c:pt idx="1">
                  <c:v>-39.7361560536</c:v>
                </c:pt>
                <c:pt idx="2">
                  <c:v>-39.4691718024</c:v>
                </c:pt>
                <c:pt idx="3">
                  <c:v>-38.8907059248</c:v>
                </c:pt>
                <c:pt idx="4">
                  <c:v>-38.267742672</c:v>
                </c:pt>
                <c:pt idx="5">
                  <c:v>-37.9562610456</c:v>
                </c:pt>
                <c:pt idx="6">
                  <c:v>-37.5112872936</c:v>
                </c:pt>
                <c:pt idx="7">
                  <c:v>-37.2888004176</c:v>
                </c:pt>
                <c:pt idx="8">
                  <c:v>-36.7993292904</c:v>
                </c:pt>
                <c:pt idx="9">
                  <c:v>-36.4433502888</c:v>
                </c:pt>
                <c:pt idx="10">
                  <c:v>-35.8648844112</c:v>
                </c:pt>
                <c:pt idx="11">
                  <c:v>-35.1974237832</c:v>
                </c:pt>
                <c:pt idx="12">
                  <c:v>-34.5299631552</c:v>
                </c:pt>
                <c:pt idx="13">
                  <c:v>-33.8625025272</c:v>
                </c:pt>
                <c:pt idx="14">
                  <c:v>-33.3285340248</c:v>
                </c:pt>
                <c:pt idx="15">
                  <c:v>-32.483083896</c:v>
                </c:pt>
                <c:pt idx="16">
                  <c:v>-31.9046180184</c:v>
                </c:pt>
                <c:pt idx="17">
                  <c:v>-31.4151468912</c:v>
                </c:pt>
                <c:pt idx="18">
                  <c:v>-30.480702012</c:v>
                </c:pt>
                <c:pt idx="19">
                  <c:v>-29.813241384</c:v>
                </c:pt>
                <c:pt idx="20">
                  <c:v>-29.368267632</c:v>
                </c:pt>
                <c:pt idx="21">
                  <c:v>-28.8342991296</c:v>
                </c:pt>
                <c:pt idx="22">
                  <c:v>-28.0778437512</c:v>
                </c:pt>
                <c:pt idx="23">
                  <c:v>-27.6773673744</c:v>
                </c:pt>
                <c:pt idx="24">
                  <c:v>-27.1878962472</c:v>
                </c:pt>
                <c:pt idx="25">
                  <c:v>-26.5649329944</c:v>
                </c:pt>
                <c:pt idx="26">
                  <c:v>-26.0754618672</c:v>
                </c:pt>
                <c:pt idx="27">
                  <c:v>-25.3190064888</c:v>
                </c:pt>
                <c:pt idx="28">
                  <c:v>-25.0075248624</c:v>
                </c:pt>
                <c:pt idx="29">
                  <c:v>-24.6070484856</c:v>
                </c:pt>
                <c:pt idx="30">
                  <c:v>-24.0730799832</c:v>
                </c:pt>
                <c:pt idx="31">
                  <c:v>-23.36112198</c:v>
                </c:pt>
                <c:pt idx="32">
                  <c:v>-23.0941377288</c:v>
                </c:pt>
                <c:pt idx="33">
                  <c:v>-22.3376823504</c:v>
                </c:pt>
                <c:pt idx="34">
                  <c:v>-21.9372059736</c:v>
                </c:pt>
                <c:pt idx="35">
                  <c:v>-21.5367295968</c:v>
                </c:pt>
                <c:pt idx="36">
                  <c:v>-20.7802742184</c:v>
                </c:pt>
                <c:pt idx="37">
                  <c:v>-20.4242952168</c:v>
                </c:pt>
                <c:pt idx="38">
                  <c:v>-19.8458293392</c:v>
                </c:pt>
                <c:pt idx="39">
                  <c:v>-19.4008555872</c:v>
                </c:pt>
                <c:pt idx="40">
                  <c:v>-19.0448765856</c:v>
                </c:pt>
                <c:pt idx="41">
                  <c:v>-18.243923832</c:v>
                </c:pt>
                <c:pt idx="42">
                  <c:v>-17.79895008</c:v>
                </c:pt>
                <c:pt idx="43">
                  <c:v>-17.3094789528</c:v>
                </c:pt>
                <c:pt idx="44">
                  <c:v>-16.6865157</c:v>
                </c:pt>
                <c:pt idx="45">
                  <c:v>-16.3750340736</c:v>
                </c:pt>
                <c:pt idx="46">
                  <c:v>-15.796568196</c:v>
                </c:pt>
                <c:pt idx="47">
                  <c:v>-15.2625996936</c:v>
                </c:pt>
                <c:pt idx="48">
                  <c:v>-14.8621233168</c:v>
                </c:pt>
                <c:pt idx="49">
                  <c:v>-14.5951390656</c:v>
                </c:pt>
                <c:pt idx="50">
                  <c:v>-14.1056679384</c:v>
                </c:pt>
                <c:pt idx="51">
                  <c:v>-13.7051915616</c:v>
                </c:pt>
                <c:pt idx="52">
                  <c:v>-13.2157204344</c:v>
                </c:pt>
                <c:pt idx="53">
                  <c:v>-12.7707466824</c:v>
                </c:pt>
                <c:pt idx="54">
                  <c:v>-12.3257729304</c:v>
                </c:pt>
                <c:pt idx="55">
                  <c:v>-11.791804428</c:v>
                </c:pt>
                <c:pt idx="56">
                  <c:v>-11.3913280512</c:v>
                </c:pt>
                <c:pt idx="57">
                  <c:v>-10.9908516744</c:v>
                </c:pt>
                <c:pt idx="58">
                  <c:v>-10.8128621736</c:v>
                </c:pt>
                <c:pt idx="59">
                  <c:v>-10.3233910464</c:v>
                </c:pt>
                <c:pt idx="60">
                  <c:v>-10.01190942</c:v>
                </c:pt>
                <c:pt idx="61">
                  <c:v>-9.6114330432</c:v>
                </c:pt>
                <c:pt idx="62">
                  <c:v>-9.2554540416</c:v>
                </c:pt>
                <c:pt idx="63">
                  <c:v>-8.8549776648</c:v>
                </c:pt>
                <c:pt idx="64">
                  <c:v>-8.5434960384</c:v>
                </c:pt>
                <c:pt idx="65">
                  <c:v>-8.0540249112</c:v>
                </c:pt>
                <c:pt idx="66">
                  <c:v>-7.6980459096</c:v>
                </c:pt>
                <c:pt idx="67">
                  <c:v>-7.2975695328</c:v>
                </c:pt>
                <c:pt idx="68">
                  <c:v>-7.0305852816</c:v>
                </c:pt>
                <c:pt idx="69">
                  <c:v>-6.67460628</c:v>
                </c:pt>
                <c:pt idx="70">
                  <c:v>-6.3631246536</c:v>
                </c:pt>
                <c:pt idx="71">
                  <c:v>-6.0516430272</c:v>
                </c:pt>
                <c:pt idx="72">
                  <c:v>-5.6956640256</c:v>
                </c:pt>
                <c:pt idx="73">
                  <c:v>-5.2951876488</c:v>
                </c:pt>
                <c:pt idx="74">
                  <c:v>-5.0282033976</c:v>
                </c:pt>
                <c:pt idx="75">
                  <c:v>-4.7167217712</c:v>
                </c:pt>
                <c:pt idx="76">
                  <c:v>-4.3607427696</c:v>
                </c:pt>
                <c:pt idx="77">
                  <c:v>-4.0937585184</c:v>
                </c:pt>
                <c:pt idx="78">
                  <c:v>-3.782276892</c:v>
                </c:pt>
                <c:pt idx="79">
                  <c:v>-3.4707952656</c:v>
                </c:pt>
                <c:pt idx="80">
                  <c:v>-3.1593136392</c:v>
                </c:pt>
                <c:pt idx="81">
                  <c:v>-2.892329388</c:v>
                </c:pt>
                <c:pt idx="82">
                  <c:v>-2.5363503864</c:v>
                </c:pt>
                <c:pt idx="83">
                  <c:v>-2.3138635104</c:v>
                </c:pt>
                <c:pt idx="84">
                  <c:v>-2.0468792592</c:v>
                </c:pt>
                <c:pt idx="85">
                  <c:v>-1.779895008</c:v>
                </c:pt>
                <c:pt idx="86">
                  <c:v>-1.4684133816</c:v>
                </c:pt>
                <c:pt idx="87">
                  <c:v>-1.2459265056</c:v>
                </c:pt>
                <c:pt idx="88">
                  <c:v>-1.0234396296</c:v>
                </c:pt>
                <c:pt idx="89">
                  <c:v>-0.8454501288</c:v>
                </c:pt>
                <c:pt idx="90">
                  <c:v>-0.667460628</c:v>
                </c:pt>
                <c:pt idx="91">
                  <c:v>-0.4894711272</c:v>
                </c:pt>
                <c:pt idx="92">
                  <c:v>-0.3559790016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0.4004763768</c:v>
                </c:pt>
                <c:pt idx="109">
                  <c:v>0.5339685024</c:v>
                </c:pt>
                <c:pt idx="110">
                  <c:v>0.7564553784</c:v>
                </c:pt>
                <c:pt idx="111">
                  <c:v>0.9789422544</c:v>
                </c:pt>
                <c:pt idx="112">
                  <c:v>1.2459265056</c:v>
                </c:pt>
                <c:pt idx="113">
                  <c:v>1.5129107568</c:v>
                </c:pt>
                <c:pt idx="114">
                  <c:v>1.779895008</c:v>
                </c:pt>
                <c:pt idx="115">
                  <c:v>2.1358740096</c:v>
                </c:pt>
                <c:pt idx="116">
                  <c:v>2.447355636</c:v>
                </c:pt>
                <c:pt idx="117">
                  <c:v>2.8478320128</c:v>
                </c:pt>
                <c:pt idx="118">
                  <c:v>3.1593136392</c:v>
                </c:pt>
                <c:pt idx="119">
                  <c:v>3.5152926408</c:v>
                </c:pt>
                <c:pt idx="120">
                  <c:v>3.9157690176</c:v>
                </c:pt>
                <c:pt idx="121">
                  <c:v>4.2717480192</c:v>
                </c:pt>
                <c:pt idx="122">
                  <c:v>4.6277270208</c:v>
                </c:pt>
                <c:pt idx="123">
                  <c:v>5.0282033976</c:v>
                </c:pt>
                <c:pt idx="124">
                  <c:v>5.4731771496</c:v>
                </c:pt>
                <c:pt idx="125">
                  <c:v>5.9181509016</c:v>
                </c:pt>
                <c:pt idx="126">
                  <c:v>6.2741299032</c:v>
                </c:pt>
                <c:pt idx="127">
                  <c:v>6.67460628</c:v>
                </c:pt>
                <c:pt idx="128">
                  <c:v>7.0750826568</c:v>
                </c:pt>
                <c:pt idx="129">
                  <c:v>7.6090511592</c:v>
                </c:pt>
                <c:pt idx="130">
                  <c:v>8.009527536</c:v>
                </c:pt>
                <c:pt idx="131">
                  <c:v>8.5434960384</c:v>
                </c:pt>
                <c:pt idx="132">
                  <c:v>8.89947504</c:v>
                </c:pt>
                <c:pt idx="133">
                  <c:v>9.2999514168</c:v>
                </c:pt>
                <c:pt idx="134">
                  <c:v>9.7449251688</c:v>
                </c:pt>
                <c:pt idx="135">
                  <c:v>10.1454015456</c:v>
                </c:pt>
                <c:pt idx="136">
                  <c:v>10.7683647984</c:v>
                </c:pt>
                <c:pt idx="137">
                  <c:v>11.2133385504</c:v>
                </c:pt>
                <c:pt idx="138">
                  <c:v>11.6138149272</c:v>
                </c:pt>
                <c:pt idx="139">
                  <c:v>12.1477834296</c:v>
                </c:pt>
                <c:pt idx="140">
                  <c:v>12.5482598064</c:v>
                </c:pt>
                <c:pt idx="141">
                  <c:v>13.0377309336</c:v>
                </c:pt>
                <c:pt idx="142">
                  <c:v>13.6161968112</c:v>
                </c:pt>
                <c:pt idx="143">
                  <c:v>14.1056679384</c:v>
                </c:pt>
                <c:pt idx="144">
                  <c:v>14.5506416904</c:v>
                </c:pt>
                <c:pt idx="145">
                  <c:v>15.0846101928</c:v>
                </c:pt>
                <c:pt idx="146">
                  <c:v>15.57408132</c:v>
                </c:pt>
                <c:pt idx="147">
                  <c:v>16.1970445728</c:v>
                </c:pt>
                <c:pt idx="148">
                  <c:v>16.5975209496</c:v>
                </c:pt>
                <c:pt idx="149">
                  <c:v>17.2649815776</c:v>
                </c:pt>
                <c:pt idx="150">
                  <c:v>17.8879448304</c:v>
                </c:pt>
                <c:pt idx="151">
                  <c:v>18.4219133328</c:v>
                </c:pt>
                <c:pt idx="152">
                  <c:v>18.9558818352</c:v>
                </c:pt>
                <c:pt idx="153">
                  <c:v>19.5343477128</c:v>
                </c:pt>
                <c:pt idx="154">
                  <c:v>20.0683162152</c:v>
                </c:pt>
                <c:pt idx="155">
                  <c:v>20.8247715936</c:v>
                </c:pt>
                <c:pt idx="156">
                  <c:v>21.358740096</c:v>
                </c:pt>
                <c:pt idx="157">
                  <c:v>21.7592164728</c:v>
                </c:pt>
                <c:pt idx="158">
                  <c:v>22.3376823504</c:v>
                </c:pt>
                <c:pt idx="159">
                  <c:v>23.36112198</c:v>
                </c:pt>
                <c:pt idx="160">
                  <c:v>23.8505931072</c:v>
                </c:pt>
                <c:pt idx="161">
                  <c:v>24.696043236</c:v>
                </c:pt>
                <c:pt idx="162">
                  <c:v>25.2745091136</c:v>
                </c:pt>
                <c:pt idx="163">
                  <c:v>26.030964492</c:v>
                </c:pt>
                <c:pt idx="164">
                  <c:v>26.7874198704</c:v>
                </c:pt>
                <c:pt idx="165">
                  <c:v>27.0544041216</c:v>
                </c:pt>
                <c:pt idx="166">
                  <c:v>27.8553568752</c:v>
                </c:pt>
                <c:pt idx="167">
                  <c:v>28.3448280024</c:v>
                </c:pt>
                <c:pt idx="168">
                  <c:v>29.1902781312</c:v>
                </c:pt>
                <c:pt idx="169">
                  <c:v>29.9467335096</c:v>
                </c:pt>
                <c:pt idx="170">
                  <c:v>30.480702012</c:v>
                </c:pt>
                <c:pt idx="171">
                  <c:v>31.1036652648</c:v>
                </c:pt>
                <c:pt idx="172">
                  <c:v>31.5486390168</c:v>
                </c:pt>
                <c:pt idx="173">
                  <c:v>32.3940891456</c:v>
                </c:pt>
                <c:pt idx="174">
                  <c:v>33.1060471488</c:v>
                </c:pt>
                <c:pt idx="175">
                  <c:v>33.5510209008</c:v>
                </c:pt>
                <c:pt idx="176">
                  <c:v>34.4409684048</c:v>
                </c:pt>
                <c:pt idx="177">
                  <c:v>35.375413284</c:v>
                </c:pt>
                <c:pt idx="178">
                  <c:v>36.1318686624</c:v>
                </c:pt>
                <c:pt idx="179">
                  <c:v>36.6658371648</c:v>
                </c:pt>
                <c:pt idx="180">
                  <c:v>37.4667899184</c:v>
                </c:pt>
                <c:pt idx="181">
                  <c:v>38.1342505464</c:v>
                </c:pt>
                <c:pt idx="182">
                  <c:v>38.8017111744</c:v>
                </c:pt>
                <c:pt idx="183">
                  <c:v>39.825150804</c:v>
                </c:pt>
                <c:pt idx="184">
                  <c:v>40.6706009328</c:v>
                </c:pt>
                <c:pt idx="185">
                  <c:v>41.7385379376</c:v>
                </c:pt>
                <c:pt idx="186">
                  <c:v>42.2280090648</c:v>
                </c:pt>
                <c:pt idx="187">
                  <c:v>42.9844644432</c:v>
                </c:pt>
                <c:pt idx="188">
                  <c:v>44.2303909488</c:v>
                </c:pt>
                <c:pt idx="189">
                  <c:v>44.4083804496</c:v>
                </c:pt>
                <c:pt idx="190">
                  <c:v>45.60980958</c:v>
                </c:pt>
                <c:pt idx="191">
                  <c:v>46.1882754576</c:v>
                </c:pt>
                <c:pt idx="192">
                  <c:v>46.944730836</c:v>
                </c:pt>
                <c:pt idx="193">
                  <c:v>47.4342019632</c:v>
                </c:pt>
                <c:pt idx="194">
                  <c:v>48.3686468424</c:v>
                </c:pt>
                <c:pt idx="195">
                  <c:v>49.169599596</c:v>
                </c:pt>
                <c:pt idx="196">
                  <c:v>49.7925628488</c:v>
                </c:pt>
                <c:pt idx="197">
                  <c:v>50.4600234768</c:v>
                </c:pt>
                <c:pt idx="198">
                  <c:v>50.7715051032</c:v>
                </c:pt>
                <c:pt idx="199">
                  <c:v>51.2164788552</c:v>
                </c:pt>
                <c:pt idx="200">
                  <c:v>51.4537981896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'16 V'!$M$3</c:f>
              <c:strCache>
                <c:ptCount val="1"/>
                <c:pt idx="0">
                  <c:v>Fossen man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'16 V'!$I$4:$I$204</c:f>
              <c:numCache>
                <c:formatCode>General</c:formatCode>
                <c:ptCount val="201"/>
                <c:pt idx="0">
                  <c:v>-3464.71333333333</c:v>
                </c:pt>
                <c:pt idx="1">
                  <c:v>-3468.01</c:v>
                </c:pt>
                <c:pt idx="2">
                  <c:v>-3449.07</c:v>
                </c:pt>
                <c:pt idx="3">
                  <c:v>-3421.12</c:v>
                </c:pt>
                <c:pt idx="4">
                  <c:v>-3409.95</c:v>
                </c:pt>
                <c:pt idx="5">
                  <c:v>-3394.78</c:v>
                </c:pt>
                <c:pt idx="6">
                  <c:v>-3373.93</c:v>
                </c:pt>
                <c:pt idx="7">
                  <c:v>-3356.28</c:v>
                </c:pt>
                <c:pt idx="8">
                  <c:v>-3323.16</c:v>
                </c:pt>
                <c:pt idx="9">
                  <c:v>-3306.57</c:v>
                </c:pt>
                <c:pt idx="10">
                  <c:v>-3282.25</c:v>
                </c:pt>
                <c:pt idx="11">
                  <c:v>-3247.62</c:v>
                </c:pt>
                <c:pt idx="12">
                  <c:v>-3223.24</c:v>
                </c:pt>
                <c:pt idx="13">
                  <c:v>-3207.09</c:v>
                </c:pt>
                <c:pt idx="14">
                  <c:v>-3176.96</c:v>
                </c:pt>
                <c:pt idx="15">
                  <c:v>-3152.96</c:v>
                </c:pt>
                <c:pt idx="16">
                  <c:v>-3111.45</c:v>
                </c:pt>
                <c:pt idx="17">
                  <c:v>-3086.3</c:v>
                </c:pt>
                <c:pt idx="18">
                  <c:v>-3061.4</c:v>
                </c:pt>
                <c:pt idx="19">
                  <c:v>-3049.78</c:v>
                </c:pt>
                <c:pt idx="20">
                  <c:v>-3003.32</c:v>
                </c:pt>
                <c:pt idx="21">
                  <c:v>-2987.73</c:v>
                </c:pt>
                <c:pt idx="22">
                  <c:v>-2952.33</c:v>
                </c:pt>
                <c:pt idx="23">
                  <c:v>-2918.2</c:v>
                </c:pt>
                <c:pt idx="24">
                  <c:v>-2895.86</c:v>
                </c:pt>
                <c:pt idx="25">
                  <c:v>-2864.72</c:v>
                </c:pt>
                <c:pt idx="26">
                  <c:v>-2845.12</c:v>
                </c:pt>
                <c:pt idx="27">
                  <c:v>-2821.23</c:v>
                </c:pt>
                <c:pt idx="28">
                  <c:v>-2792.39</c:v>
                </c:pt>
                <c:pt idx="29">
                  <c:v>-2758.52</c:v>
                </c:pt>
                <c:pt idx="30">
                  <c:v>-2736.37</c:v>
                </c:pt>
                <c:pt idx="31">
                  <c:v>-2712.08</c:v>
                </c:pt>
                <c:pt idx="32">
                  <c:v>-2681.26</c:v>
                </c:pt>
                <c:pt idx="33">
                  <c:v>-2660.64</c:v>
                </c:pt>
                <c:pt idx="34">
                  <c:v>-2629</c:v>
                </c:pt>
                <c:pt idx="35">
                  <c:v>-2598.64</c:v>
                </c:pt>
                <c:pt idx="36">
                  <c:v>-2575.93</c:v>
                </c:pt>
                <c:pt idx="37">
                  <c:v>-2547.87</c:v>
                </c:pt>
                <c:pt idx="38">
                  <c:v>-2517.32</c:v>
                </c:pt>
                <c:pt idx="39">
                  <c:v>-2482.17</c:v>
                </c:pt>
                <c:pt idx="40">
                  <c:v>-2440.17</c:v>
                </c:pt>
                <c:pt idx="41">
                  <c:v>-2418.69</c:v>
                </c:pt>
                <c:pt idx="42">
                  <c:v>-2369.48</c:v>
                </c:pt>
                <c:pt idx="43">
                  <c:v>-2345.45</c:v>
                </c:pt>
                <c:pt idx="44">
                  <c:v>-2306.38</c:v>
                </c:pt>
                <c:pt idx="45">
                  <c:v>-2277.85</c:v>
                </c:pt>
                <c:pt idx="46">
                  <c:v>-2248.15</c:v>
                </c:pt>
                <c:pt idx="47">
                  <c:v>-2222.36</c:v>
                </c:pt>
                <c:pt idx="48">
                  <c:v>-2198.72</c:v>
                </c:pt>
                <c:pt idx="49">
                  <c:v>-2156.96</c:v>
                </c:pt>
                <c:pt idx="50">
                  <c:v>-2140.15</c:v>
                </c:pt>
                <c:pt idx="51">
                  <c:v>-2105.77</c:v>
                </c:pt>
                <c:pt idx="52">
                  <c:v>-2081.37</c:v>
                </c:pt>
                <c:pt idx="53">
                  <c:v>-2039.83</c:v>
                </c:pt>
                <c:pt idx="54">
                  <c:v>-2001.27</c:v>
                </c:pt>
                <c:pt idx="55">
                  <c:v>-1968.2</c:v>
                </c:pt>
                <c:pt idx="56">
                  <c:v>-1935.5</c:v>
                </c:pt>
                <c:pt idx="57">
                  <c:v>-1902.76</c:v>
                </c:pt>
                <c:pt idx="58">
                  <c:v>-1869.56</c:v>
                </c:pt>
                <c:pt idx="59">
                  <c:v>-1839.98</c:v>
                </c:pt>
                <c:pt idx="60">
                  <c:v>-1807.39</c:v>
                </c:pt>
                <c:pt idx="61">
                  <c:v>-1773.08</c:v>
                </c:pt>
                <c:pt idx="62">
                  <c:v>-1737.6</c:v>
                </c:pt>
                <c:pt idx="63">
                  <c:v>-1704.96</c:v>
                </c:pt>
                <c:pt idx="64">
                  <c:v>-1667.06</c:v>
                </c:pt>
                <c:pt idx="65">
                  <c:v>-1630.35</c:v>
                </c:pt>
                <c:pt idx="66">
                  <c:v>-1589.17</c:v>
                </c:pt>
                <c:pt idx="67">
                  <c:v>-1553.88</c:v>
                </c:pt>
                <c:pt idx="68">
                  <c:v>-1518.54</c:v>
                </c:pt>
                <c:pt idx="69">
                  <c:v>-1481.78</c:v>
                </c:pt>
                <c:pt idx="70">
                  <c:v>-1448.45</c:v>
                </c:pt>
                <c:pt idx="71">
                  <c:v>-1409.65</c:v>
                </c:pt>
                <c:pt idx="72">
                  <c:v>-1362.08</c:v>
                </c:pt>
                <c:pt idx="73">
                  <c:v>-1324.67</c:v>
                </c:pt>
                <c:pt idx="74">
                  <c:v>-1284.84</c:v>
                </c:pt>
                <c:pt idx="75">
                  <c:v>-1246.14</c:v>
                </c:pt>
                <c:pt idx="76">
                  <c:v>-1199.38</c:v>
                </c:pt>
                <c:pt idx="77">
                  <c:v>-1152.94</c:v>
                </c:pt>
                <c:pt idx="78">
                  <c:v>-1112.71</c:v>
                </c:pt>
                <c:pt idx="79">
                  <c:v>-1064.11</c:v>
                </c:pt>
                <c:pt idx="80">
                  <c:v>-1016.48</c:v>
                </c:pt>
                <c:pt idx="81">
                  <c:v>-969.68</c:v>
                </c:pt>
                <c:pt idx="82">
                  <c:v>-916.03</c:v>
                </c:pt>
                <c:pt idx="83">
                  <c:v>-868.6</c:v>
                </c:pt>
                <c:pt idx="84">
                  <c:v>-809.94</c:v>
                </c:pt>
                <c:pt idx="85">
                  <c:v>-758.15</c:v>
                </c:pt>
                <c:pt idx="86">
                  <c:v>-697.28</c:v>
                </c:pt>
                <c:pt idx="87">
                  <c:v>-641.26</c:v>
                </c:pt>
                <c:pt idx="88">
                  <c:v>-577.81</c:v>
                </c:pt>
                <c:pt idx="89">
                  <c:v>-513.25</c:v>
                </c:pt>
                <c:pt idx="90">
                  <c:v>-449.5</c:v>
                </c:pt>
                <c:pt idx="91">
                  <c:v>-388.48</c:v>
                </c:pt>
                <c:pt idx="92">
                  <c:v>-317.17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308.25</c:v>
                </c:pt>
                <c:pt idx="109">
                  <c:v>374.8</c:v>
                </c:pt>
                <c:pt idx="110">
                  <c:v>440.8</c:v>
                </c:pt>
                <c:pt idx="111">
                  <c:v>508.01</c:v>
                </c:pt>
                <c:pt idx="112">
                  <c:v>572.86</c:v>
                </c:pt>
                <c:pt idx="113">
                  <c:v>630.43</c:v>
                </c:pt>
                <c:pt idx="114">
                  <c:v>688.25</c:v>
                </c:pt>
                <c:pt idx="115">
                  <c:v>749.32</c:v>
                </c:pt>
                <c:pt idx="116">
                  <c:v>803.61</c:v>
                </c:pt>
                <c:pt idx="117">
                  <c:v>859.4</c:v>
                </c:pt>
                <c:pt idx="118">
                  <c:v>906.13</c:v>
                </c:pt>
                <c:pt idx="119">
                  <c:v>961.53</c:v>
                </c:pt>
                <c:pt idx="120">
                  <c:v>1007.38</c:v>
                </c:pt>
                <c:pt idx="121">
                  <c:v>1056.66</c:v>
                </c:pt>
                <c:pt idx="122">
                  <c:v>1104.32</c:v>
                </c:pt>
                <c:pt idx="123">
                  <c:v>1147.5</c:v>
                </c:pt>
                <c:pt idx="124">
                  <c:v>1194.61</c:v>
                </c:pt>
                <c:pt idx="125">
                  <c:v>1237.07</c:v>
                </c:pt>
                <c:pt idx="126">
                  <c:v>1278.89</c:v>
                </c:pt>
                <c:pt idx="127">
                  <c:v>1319.08</c:v>
                </c:pt>
                <c:pt idx="128">
                  <c:v>1359.21</c:v>
                </c:pt>
                <c:pt idx="129">
                  <c:v>1408.65</c:v>
                </c:pt>
                <c:pt idx="130">
                  <c:v>1443.5</c:v>
                </c:pt>
                <c:pt idx="131">
                  <c:v>1479.63</c:v>
                </c:pt>
                <c:pt idx="132">
                  <c:v>1516.03</c:v>
                </c:pt>
                <c:pt idx="133">
                  <c:v>1548.64</c:v>
                </c:pt>
                <c:pt idx="134">
                  <c:v>1583.02</c:v>
                </c:pt>
                <c:pt idx="135">
                  <c:v>1628.86</c:v>
                </c:pt>
                <c:pt idx="136">
                  <c:v>1668.42</c:v>
                </c:pt>
                <c:pt idx="137">
                  <c:v>1699.09</c:v>
                </c:pt>
                <c:pt idx="138">
                  <c:v>1739.95</c:v>
                </c:pt>
                <c:pt idx="139">
                  <c:v>1766.18</c:v>
                </c:pt>
                <c:pt idx="140">
                  <c:v>1802.32</c:v>
                </c:pt>
                <c:pt idx="141">
                  <c:v>1835.1</c:v>
                </c:pt>
                <c:pt idx="142">
                  <c:v>1865.47</c:v>
                </c:pt>
                <c:pt idx="143">
                  <c:v>1900.85</c:v>
                </c:pt>
                <c:pt idx="144">
                  <c:v>1929.78</c:v>
                </c:pt>
                <c:pt idx="145">
                  <c:v>1960.82</c:v>
                </c:pt>
                <c:pt idx="146">
                  <c:v>1994.08</c:v>
                </c:pt>
                <c:pt idx="147">
                  <c:v>2030.99</c:v>
                </c:pt>
                <c:pt idx="148">
                  <c:v>2071.37</c:v>
                </c:pt>
                <c:pt idx="149">
                  <c:v>2106.28</c:v>
                </c:pt>
                <c:pt idx="150">
                  <c:v>2128.7</c:v>
                </c:pt>
                <c:pt idx="151">
                  <c:v>2160.39</c:v>
                </c:pt>
                <c:pt idx="152">
                  <c:v>2189.6</c:v>
                </c:pt>
                <c:pt idx="153">
                  <c:v>2219.18</c:v>
                </c:pt>
                <c:pt idx="154">
                  <c:v>2243.76</c:v>
                </c:pt>
                <c:pt idx="155">
                  <c:v>2266.35</c:v>
                </c:pt>
                <c:pt idx="156">
                  <c:v>2305.35</c:v>
                </c:pt>
                <c:pt idx="157">
                  <c:v>2341.59</c:v>
                </c:pt>
                <c:pt idx="158">
                  <c:v>2391.8</c:v>
                </c:pt>
                <c:pt idx="159">
                  <c:v>2415.81</c:v>
                </c:pt>
                <c:pt idx="160">
                  <c:v>2445.98</c:v>
                </c:pt>
                <c:pt idx="161">
                  <c:v>2475.13</c:v>
                </c:pt>
                <c:pt idx="162">
                  <c:v>2497.91</c:v>
                </c:pt>
                <c:pt idx="163">
                  <c:v>2537.88</c:v>
                </c:pt>
                <c:pt idx="164">
                  <c:v>2583.51</c:v>
                </c:pt>
                <c:pt idx="165">
                  <c:v>2608.66</c:v>
                </c:pt>
                <c:pt idx="166">
                  <c:v>2639.26</c:v>
                </c:pt>
                <c:pt idx="167">
                  <c:v>2663.25</c:v>
                </c:pt>
                <c:pt idx="168">
                  <c:v>2688.12</c:v>
                </c:pt>
                <c:pt idx="169">
                  <c:v>2710.8</c:v>
                </c:pt>
                <c:pt idx="170">
                  <c:v>2735.48</c:v>
                </c:pt>
                <c:pt idx="171">
                  <c:v>2765.9</c:v>
                </c:pt>
                <c:pt idx="172">
                  <c:v>2809.4</c:v>
                </c:pt>
                <c:pt idx="173">
                  <c:v>2822.46</c:v>
                </c:pt>
                <c:pt idx="174">
                  <c:v>2853.6</c:v>
                </c:pt>
                <c:pt idx="175">
                  <c:v>2888</c:v>
                </c:pt>
                <c:pt idx="176">
                  <c:v>2903.17</c:v>
                </c:pt>
                <c:pt idx="177">
                  <c:v>2933.63</c:v>
                </c:pt>
                <c:pt idx="178">
                  <c:v>2973.17</c:v>
                </c:pt>
                <c:pt idx="179">
                  <c:v>3001.72</c:v>
                </c:pt>
                <c:pt idx="180">
                  <c:v>3041.86</c:v>
                </c:pt>
                <c:pt idx="181">
                  <c:v>3065.09</c:v>
                </c:pt>
                <c:pt idx="182">
                  <c:v>3107.61</c:v>
                </c:pt>
                <c:pt idx="183">
                  <c:v>3124.51</c:v>
                </c:pt>
                <c:pt idx="184">
                  <c:v>3153.38</c:v>
                </c:pt>
                <c:pt idx="185">
                  <c:v>3180.33</c:v>
                </c:pt>
                <c:pt idx="186">
                  <c:v>3204.34</c:v>
                </c:pt>
                <c:pt idx="187">
                  <c:v>3242.32</c:v>
                </c:pt>
                <c:pt idx="188">
                  <c:v>3260.1</c:v>
                </c:pt>
                <c:pt idx="189">
                  <c:v>3299.33</c:v>
                </c:pt>
                <c:pt idx="190">
                  <c:v>3307.84</c:v>
                </c:pt>
                <c:pt idx="191">
                  <c:v>3351.13</c:v>
                </c:pt>
                <c:pt idx="192">
                  <c:v>3378.76</c:v>
                </c:pt>
                <c:pt idx="193">
                  <c:v>3405.6</c:v>
                </c:pt>
                <c:pt idx="194">
                  <c:v>3427.86</c:v>
                </c:pt>
                <c:pt idx="195">
                  <c:v>3437.91</c:v>
                </c:pt>
                <c:pt idx="196">
                  <c:v>3454.99</c:v>
                </c:pt>
                <c:pt idx="197">
                  <c:v>3493.84</c:v>
                </c:pt>
                <c:pt idx="198">
                  <c:v>3515.95</c:v>
                </c:pt>
                <c:pt idx="199">
                  <c:v>3527.23</c:v>
                </c:pt>
                <c:pt idx="200">
                  <c:v>3533.445</c:v>
                </c:pt>
              </c:numCache>
            </c:numRef>
          </c:xVal>
          <c:yVal>
            <c:numRef>
              <c:f>'16 V'!$M$4:$M$204</c:f>
              <c:numCache>
                <c:formatCode>General</c:formatCode>
                <c:ptCount val="201"/>
                <c:pt idx="0">
                  <c:v>-43.9157801778405</c:v>
                </c:pt>
                <c:pt idx="1">
                  <c:v>-43.9993914619978</c:v>
                </c:pt>
                <c:pt idx="2">
                  <c:v>-43.5201120640622</c:v>
                </c:pt>
                <c:pt idx="3">
                  <c:v>-42.8176278846793</c:v>
                </c:pt>
                <c:pt idx="4">
                  <c:v>-42.5384841423158</c:v>
                </c:pt>
                <c:pt idx="5">
                  <c:v>-42.1608402489495</c:v>
                </c:pt>
                <c:pt idx="6">
                  <c:v>-41.6445452068664</c:v>
                </c:pt>
                <c:pt idx="7">
                  <c:v>-41.209975636117</c:v>
                </c:pt>
                <c:pt idx="8">
                  <c:v>-40.4006629111607</c:v>
                </c:pt>
                <c:pt idx="9">
                  <c:v>-39.9982904813057</c:v>
                </c:pt>
                <c:pt idx="10">
                  <c:v>-39.4120751105331</c:v>
                </c:pt>
                <c:pt idx="11">
                  <c:v>-38.58481322687</c:v>
                </c:pt>
                <c:pt idx="12">
                  <c:v>-38.0076725388684</c:v>
                </c:pt>
                <c:pt idx="13">
                  <c:v>-37.6277528721107</c:v>
                </c:pt>
                <c:pt idx="14">
                  <c:v>-36.9240628399934</c:v>
                </c:pt>
                <c:pt idx="15">
                  <c:v>-36.3682923913952</c:v>
                </c:pt>
                <c:pt idx="16">
                  <c:v>-35.4169893278656</c:v>
                </c:pt>
                <c:pt idx="17">
                  <c:v>-34.8467488641258</c:v>
                </c:pt>
                <c:pt idx="18">
                  <c:v>-34.2867360027699</c:v>
                </c:pt>
                <c:pt idx="19">
                  <c:v>-34.0269491362841</c:v>
                </c:pt>
                <c:pt idx="20">
                  <c:v>-32.9981205044454</c:v>
                </c:pt>
                <c:pt idx="21">
                  <c:v>-32.656428318543</c:v>
                </c:pt>
                <c:pt idx="22">
                  <c:v>-31.8871560416299</c:v>
                </c:pt>
                <c:pt idx="23">
                  <c:v>-31.1541634456425</c:v>
                </c:pt>
                <c:pt idx="24">
                  <c:v>-30.6789938260293</c:v>
                </c:pt>
                <c:pt idx="25">
                  <c:v>-30.0227415717046</c:v>
                </c:pt>
                <c:pt idx="26">
                  <c:v>-29.6133244527601</c:v>
                </c:pt>
                <c:pt idx="27">
                  <c:v>-29.1180960621236</c:v>
                </c:pt>
                <c:pt idx="28">
                  <c:v>-28.5258198985015</c:v>
                </c:pt>
                <c:pt idx="29">
                  <c:v>-27.8380148323642</c:v>
                </c:pt>
                <c:pt idx="30">
                  <c:v>-27.3927496658443</c:v>
                </c:pt>
                <c:pt idx="31">
                  <c:v>-26.9085923792912</c:v>
                </c:pt>
                <c:pt idx="32">
                  <c:v>-26.300490393602</c:v>
                </c:pt>
                <c:pt idx="33">
                  <c:v>-25.8975225395708</c:v>
                </c:pt>
                <c:pt idx="34">
                  <c:v>-25.2852446471127</c:v>
                </c:pt>
                <c:pt idx="35">
                  <c:v>-24.7046227273561</c:v>
                </c:pt>
                <c:pt idx="36">
                  <c:v>-24.2747128846402</c:v>
                </c:pt>
                <c:pt idx="37">
                  <c:v>-23.7487370107729</c:v>
                </c:pt>
                <c:pt idx="38">
                  <c:v>-23.1826372867555</c:v>
                </c:pt>
                <c:pt idx="39">
                  <c:v>-22.5397467675877</c:v>
                </c:pt>
                <c:pt idx="40">
                  <c:v>-21.7834245008896</c:v>
                </c:pt>
                <c:pt idx="41">
                  <c:v>-21.4016080375411</c:v>
                </c:pt>
                <c:pt idx="42">
                  <c:v>-20.5396047660015</c:v>
                </c:pt>
                <c:pt idx="43">
                  <c:v>-20.1251138585871</c:v>
                </c:pt>
                <c:pt idx="44">
                  <c:v>-19.4602186027663</c:v>
                </c:pt>
                <c:pt idx="45">
                  <c:v>-18.9817492135477</c:v>
                </c:pt>
                <c:pt idx="46">
                  <c:v>-18.4899849258766</c:v>
                </c:pt>
                <c:pt idx="47">
                  <c:v>-18.068196750242</c:v>
                </c:pt>
                <c:pt idx="48">
                  <c:v>-17.6858460995758</c:v>
                </c:pt>
                <c:pt idx="49">
                  <c:v>-17.0204159968356</c:v>
                </c:pt>
                <c:pt idx="50">
                  <c:v>-16.7561567624677</c:v>
                </c:pt>
                <c:pt idx="51">
                  <c:v>-16.2221292066047</c:v>
                </c:pt>
                <c:pt idx="52">
                  <c:v>-15.8483687977192</c:v>
                </c:pt>
                <c:pt idx="53">
                  <c:v>-15.2220777972237</c:v>
                </c:pt>
                <c:pt idx="54">
                  <c:v>-14.6520151167906</c:v>
                </c:pt>
                <c:pt idx="55">
                  <c:v>-14.1717813353059</c:v>
                </c:pt>
                <c:pt idx="56">
                  <c:v>-13.7047885456636</c:v>
                </c:pt>
                <c:pt idx="57">
                  <c:v>-13.2450625596462</c:v>
                </c:pt>
                <c:pt idx="58">
                  <c:v>-12.7868862840417</c:v>
                </c:pt>
                <c:pt idx="59">
                  <c:v>-12.3854614690452</c:v>
                </c:pt>
                <c:pt idx="60">
                  <c:v>-11.950600759725</c:v>
                </c:pt>
                <c:pt idx="61">
                  <c:v>-11.5011866068161</c:v>
                </c:pt>
                <c:pt idx="62">
                  <c:v>-11.0455056871899</c:v>
                </c:pt>
                <c:pt idx="63">
                  <c:v>-10.6344339142267</c:v>
                </c:pt>
                <c:pt idx="64">
                  <c:v>-10.1668976099217</c:v>
                </c:pt>
                <c:pt idx="65">
                  <c:v>-9.72406119827385</c:v>
                </c:pt>
                <c:pt idx="66">
                  <c:v>-9.23903694312959</c:v>
                </c:pt>
                <c:pt idx="67">
                  <c:v>-8.8332585331748</c:v>
                </c:pt>
                <c:pt idx="68">
                  <c:v>-8.43603669531953</c:v>
                </c:pt>
                <c:pt idx="69">
                  <c:v>-8.03255014052402</c:v>
                </c:pt>
                <c:pt idx="70">
                  <c:v>-7.6752583711547</c:v>
                </c:pt>
                <c:pt idx="71">
                  <c:v>-7.2695675952933</c:v>
                </c:pt>
                <c:pt idx="72">
                  <c:v>-6.78720895565867</c:v>
                </c:pt>
                <c:pt idx="73">
                  <c:v>-6.41950275494728</c:v>
                </c:pt>
                <c:pt idx="74">
                  <c:v>-6.03926498021701</c:v>
                </c:pt>
                <c:pt idx="75">
                  <c:v>-5.68093292031518</c:v>
                </c:pt>
                <c:pt idx="76">
                  <c:v>-5.26259068829754</c:v>
                </c:pt>
                <c:pt idx="77">
                  <c:v>-4.86294548945048</c:v>
                </c:pt>
                <c:pt idx="78">
                  <c:v>-4.52949693363975</c:v>
                </c:pt>
                <c:pt idx="79">
                  <c:v>-4.14246680347492</c:v>
                </c:pt>
                <c:pt idx="80">
                  <c:v>-3.77992918619317</c:v>
                </c:pt>
                <c:pt idx="81">
                  <c:v>-3.4398766078563</c:v>
                </c:pt>
                <c:pt idx="82">
                  <c:v>-3.06976677932641</c:v>
                </c:pt>
                <c:pt idx="83">
                  <c:v>-2.76010521618799</c:v>
                </c:pt>
                <c:pt idx="84">
                  <c:v>-2.39989191831836</c:v>
                </c:pt>
                <c:pt idx="85">
                  <c:v>-2.1027917594352</c:v>
                </c:pt>
                <c:pt idx="86">
                  <c:v>-1.7786905795343</c:v>
                </c:pt>
                <c:pt idx="87">
                  <c:v>-1.50436870098992</c:v>
                </c:pt>
                <c:pt idx="88">
                  <c:v>-1.22139488065845</c:v>
                </c:pt>
                <c:pt idx="89">
                  <c:v>-0.963704537622221</c:v>
                </c:pt>
                <c:pt idx="90">
                  <c:v>-0.739171783120722</c:v>
                </c:pt>
                <c:pt idx="91">
                  <c:v>-0.552107081921857</c:v>
                </c:pt>
                <c:pt idx="92">
                  <c:v>-0.368018958703924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0.347609917269596</c:v>
                </c:pt>
                <c:pt idx="109">
                  <c:v>0.513907732362394</c:v>
                </c:pt>
                <c:pt idx="110">
                  <c:v>0.710835582818779</c:v>
                </c:pt>
                <c:pt idx="111">
                  <c:v>0.944127201517938</c:v>
                </c:pt>
                <c:pt idx="112">
                  <c:v>1.20055755509893</c:v>
                </c:pt>
                <c:pt idx="113">
                  <c:v>1.45398434629787</c:v>
                </c:pt>
                <c:pt idx="114">
                  <c:v>1.73291965637818</c:v>
                </c:pt>
                <c:pt idx="115">
                  <c:v>2.05409552613598</c:v>
                </c:pt>
                <c:pt idx="116">
                  <c:v>2.36252630411079</c:v>
                </c:pt>
                <c:pt idx="117">
                  <c:v>2.70194613279492</c:v>
                </c:pt>
                <c:pt idx="118">
                  <c:v>3.00377228717567</c:v>
                </c:pt>
                <c:pt idx="119">
                  <c:v>3.38229641725947</c:v>
                </c:pt>
                <c:pt idx="120">
                  <c:v>3.71255277925787</c:v>
                </c:pt>
                <c:pt idx="121">
                  <c:v>4.08466573962302</c:v>
                </c:pt>
                <c:pt idx="122">
                  <c:v>4.4614482829016</c:v>
                </c:pt>
                <c:pt idx="123">
                  <c:v>4.81716338013863</c:v>
                </c:pt>
                <c:pt idx="124">
                  <c:v>5.22081470327283</c:v>
                </c:pt>
                <c:pt idx="125">
                  <c:v>5.59853680753869</c:v>
                </c:pt>
                <c:pt idx="126">
                  <c:v>5.983459706977</c:v>
                </c:pt>
                <c:pt idx="127">
                  <c:v>6.36543750932107</c:v>
                </c:pt>
                <c:pt idx="128">
                  <c:v>6.75863681955171</c:v>
                </c:pt>
                <c:pt idx="129">
                  <c:v>7.25925725003825</c:v>
                </c:pt>
                <c:pt idx="130">
                  <c:v>7.62288844437129</c:v>
                </c:pt>
                <c:pt idx="131">
                  <c:v>8.00925727141329</c:v>
                </c:pt>
                <c:pt idx="132">
                  <c:v>8.40817183506848</c:v>
                </c:pt>
                <c:pt idx="133">
                  <c:v>8.7737838873351</c:v>
                </c:pt>
                <c:pt idx="134">
                  <c:v>9.16766618742406</c:v>
                </c:pt>
                <c:pt idx="135">
                  <c:v>9.70629540515939</c:v>
                </c:pt>
                <c:pt idx="136">
                  <c:v>10.1834928384396</c:v>
                </c:pt>
                <c:pt idx="137">
                  <c:v>10.5613334694219</c:v>
                </c:pt>
                <c:pt idx="138">
                  <c:v>11.0754026611398</c:v>
                </c:pt>
                <c:pt idx="139">
                  <c:v>11.4118462780445</c:v>
                </c:pt>
                <c:pt idx="140">
                  <c:v>11.8836483427364</c:v>
                </c:pt>
                <c:pt idx="141">
                  <c:v>12.3198510808811</c:v>
                </c:pt>
                <c:pt idx="142">
                  <c:v>12.7310002372237</c:v>
                </c:pt>
                <c:pt idx="143">
                  <c:v>13.2184849856751</c:v>
                </c:pt>
                <c:pt idx="144">
                  <c:v>13.6239044794256</c:v>
                </c:pt>
                <c:pt idx="145">
                  <c:v>14.0657030260311</c:v>
                </c:pt>
                <c:pt idx="146">
                  <c:v>14.5469231043692</c:v>
                </c:pt>
                <c:pt idx="147">
                  <c:v>15.0904280127816</c:v>
                </c:pt>
                <c:pt idx="148">
                  <c:v>15.6964467768043</c:v>
                </c:pt>
                <c:pt idx="149">
                  <c:v>16.2299878879953</c:v>
                </c:pt>
                <c:pt idx="150">
                  <c:v>16.5773424121267</c:v>
                </c:pt>
                <c:pt idx="151">
                  <c:v>17.074590802913</c:v>
                </c:pt>
                <c:pt idx="152">
                  <c:v>17.5394332762704</c:v>
                </c:pt>
                <c:pt idx="153">
                  <c:v>18.0165257717983</c:v>
                </c:pt>
                <c:pt idx="154">
                  <c:v>18.4178440261957</c:v>
                </c:pt>
                <c:pt idx="155">
                  <c:v>18.7905697381753</c:v>
                </c:pt>
                <c:pt idx="156">
                  <c:v>19.4428411112363</c:v>
                </c:pt>
                <c:pt idx="157">
                  <c:v>20.0589269720209</c:v>
                </c:pt>
                <c:pt idx="158">
                  <c:v>20.9283847523199</c:v>
                </c:pt>
                <c:pt idx="159">
                  <c:v>21.350671427276</c:v>
                </c:pt>
                <c:pt idx="160">
                  <c:v>21.8872798608757</c:v>
                </c:pt>
                <c:pt idx="161">
                  <c:v>22.4120723607781</c:v>
                </c:pt>
                <c:pt idx="162">
                  <c:v>22.8265123559469</c:v>
                </c:pt>
                <c:pt idx="163">
                  <c:v>23.5628682156039</c:v>
                </c:pt>
                <c:pt idx="164">
                  <c:v>24.4177859097043</c:v>
                </c:pt>
                <c:pt idx="165">
                  <c:v>24.8955053124901</c:v>
                </c:pt>
                <c:pt idx="166">
                  <c:v>25.4829873876308</c:v>
                </c:pt>
                <c:pt idx="167">
                  <c:v>25.9483566898883</c:v>
                </c:pt>
                <c:pt idx="168">
                  <c:v>26.4352420909423</c:v>
                </c:pt>
                <c:pt idx="169">
                  <c:v>26.8831986812115</c:v>
                </c:pt>
                <c:pt idx="170">
                  <c:v>27.3749336669128</c:v>
                </c:pt>
                <c:pt idx="171">
                  <c:v>27.9871668176746</c:v>
                </c:pt>
                <c:pt idx="172">
                  <c:v>28.874411665161</c:v>
                </c:pt>
                <c:pt idx="173">
                  <c:v>29.1434914148779</c:v>
                </c:pt>
                <c:pt idx="174">
                  <c:v>29.7901150483803</c:v>
                </c:pt>
                <c:pt idx="175">
                  <c:v>30.5126807844922</c:v>
                </c:pt>
                <c:pt idx="176">
                  <c:v>30.8340748715385</c:v>
                </c:pt>
                <c:pt idx="177">
                  <c:v>31.4844900971018</c:v>
                </c:pt>
                <c:pt idx="178">
                  <c:v>32.3389170091832</c:v>
                </c:pt>
                <c:pt idx="179">
                  <c:v>32.9629707840208</c:v>
                </c:pt>
                <c:pt idx="180">
                  <c:v>33.8504488561045</c:v>
                </c:pt>
                <c:pt idx="181">
                  <c:v>34.3694395396556</c:v>
                </c:pt>
                <c:pt idx="182">
                  <c:v>35.3296234271008</c:v>
                </c:pt>
                <c:pt idx="183">
                  <c:v>35.7149318470412</c:v>
                </c:pt>
                <c:pt idx="184">
                  <c:v>36.3779821433493</c:v>
                </c:pt>
                <c:pt idx="185">
                  <c:v>37.0024397092516</c:v>
                </c:pt>
                <c:pt idx="186">
                  <c:v>37.5632508118559</c:v>
                </c:pt>
                <c:pt idx="187">
                  <c:v>38.4589779123016</c:v>
                </c:pt>
                <c:pt idx="188">
                  <c:v>38.8819315476625</c:v>
                </c:pt>
                <c:pt idx="189">
                  <c:v>39.8233233186988</c:v>
                </c:pt>
                <c:pt idx="190">
                  <c:v>40.0290217733837</c:v>
                </c:pt>
                <c:pt idx="191">
                  <c:v>41.0836044473628</c:v>
                </c:pt>
                <c:pt idx="192">
                  <c:v>41.7638642965306</c:v>
                </c:pt>
                <c:pt idx="193">
                  <c:v>42.4300225058069</c:v>
                </c:pt>
                <c:pt idx="194">
                  <c:v>42.9865053812265</c:v>
                </c:pt>
                <c:pt idx="195">
                  <c:v>43.2389355747384</c:v>
                </c:pt>
                <c:pt idx="196">
                  <c:v>43.6696365271032</c:v>
                </c:pt>
                <c:pt idx="197">
                  <c:v>44.6572538477804</c:v>
                </c:pt>
                <c:pt idx="198">
                  <c:v>45.2242495120092</c:v>
                </c:pt>
                <c:pt idx="199">
                  <c:v>45.5148951939189</c:v>
                </c:pt>
                <c:pt idx="200">
                  <c:v>45.6754315283239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'16 V'!$L$3</c:f>
              <c:strCache>
                <c:ptCount val="1"/>
                <c:pt idx="0">
                  <c:v>Fossen mean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'16 V'!$I$4:$I$204</c:f>
              <c:numCache>
                <c:formatCode>General</c:formatCode>
                <c:ptCount val="201"/>
                <c:pt idx="0">
                  <c:v>-3464.71333333333</c:v>
                </c:pt>
                <c:pt idx="1">
                  <c:v>-3468.01</c:v>
                </c:pt>
                <c:pt idx="2">
                  <c:v>-3449.07</c:v>
                </c:pt>
                <c:pt idx="3">
                  <c:v>-3421.12</c:v>
                </c:pt>
                <c:pt idx="4">
                  <c:v>-3409.95</c:v>
                </c:pt>
                <c:pt idx="5">
                  <c:v>-3394.78</c:v>
                </c:pt>
                <c:pt idx="6">
                  <c:v>-3373.93</c:v>
                </c:pt>
                <c:pt idx="7">
                  <c:v>-3356.28</c:v>
                </c:pt>
                <c:pt idx="8">
                  <c:v>-3323.16</c:v>
                </c:pt>
                <c:pt idx="9">
                  <c:v>-3306.57</c:v>
                </c:pt>
                <c:pt idx="10">
                  <c:v>-3282.25</c:v>
                </c:pt>
                <c:pt idx="11">
                  <c:v>-3247.62</c:v>
                </c:pt>
                <c:pt idx="12">
                  <c:v>-3223.24</c:v>
                </c:pt>
                <c:pt idx="13">
                  <c:v>-3207.09</c:v>
                </c:pt>
                <c:pt idx="14">
                  <c:v>-3176.96</c:v>
                </c:pt>
                <c:pt idx="15">
                  <c:v>-3152.96</c:v>
                </c:pt>
                <c:pt idx="16">
                  <c:v>-3111.45</c:v>
                </c:pt>
                <c:pt idx="17">
                  <c:v>-3086.3</c:v>
                </c:pt>
                <c:pt idx="18">
                  <c:v>-3061.4</c:v>
                </c:pt>
                <c:pt idx="19">
                  <c:v>-3049.78</c:v>
                </c:pt>
                <c:pt idx="20">
                  <c:v>-3003.32</c:v>
                </c:pt>
                <c:pt idx="21">
                  <c:v>-2987.73</c:v>
                </c:pt>
                <c:pt idx="22">
                  <c:v>-2952.33</c:v>
                </c:pt>
                <c:pt idx="23">
                  <c:v>-2918.2</c:v>
                </c:pt>
                <c:pt idx="24">
                  <c:v>-2895.86</c:v>
                </c:pt>
                <c:pt idx="25">
                  <c:v>-2864.72</c:v>
                </c:pt>
                <c:pt idx="26">
                  <c:v>-2845.12</c:v>
                </c:pt>
                <c:pt idx="27">
                  <c:v>-2821.23</c:v>
                </c:pt>
                <c:pt idx="28">
                  <c:v>-2792.39</c:v>
                </c:pt>
                <c:pt idx="29">
                  <c:v>-2758.52</c:v>
                </c:pt>
                <c:pt idx="30">
                  <c:v>-2736.37</c:v>
                </c:pt>
                <c:pt idx="31">
                  <c:v>-2712.08</c:v>
                </c:pt>
                <c:pt idx="32">
                  <c:v>-2681.26</c:v>
                </c:pt>
                <c:pt idx="33">
                  <c:v>-2660.64</c:v>
                </c:pt>
                <c:pt idx="34">
                  <c:v>-2629</c:v>
                </c:pt>
                <c:pt idx="35">
                  <c:v>-2598.64</c:v>
                </c:pt>
                <c:pt idx="36">
                  <c:v>-2575.93</c:v>
                </c:pt>
                <c:pt idx="37">
                  <c:v>-2547.87</c:v>
                </c:pt>
                <c:pt idx="38">
                  <c:v>-2517.32</c:v>
                </c:pt>
                <c:pt idx="39">
                  <c:v>-2482.17</c:v>
                </c:pt>
                <c:pt idx="40">
                  <c:v>-2440.17</c:v>
                </c:pt>
                <c:pt idx="41">
                  <c:v>-2418.69</c:v>
                </c:pt>
                <c:pt idx="42">
                  <c:v>-2369.48</c:v>
                </c:pt>
                <c:pt idx="43">
                  <c:v>-2345.45</c:v>
                </c:pt>
                <c:pt idx="44">
                  <c:v>-2306.38</c:v>
                </c:pt>
                <c:pt idx="45">
                  <c:v>-2277.85</c:v>
                </c:pt>
                <c:pt idx="46">
                  <c:v>-2248.15</c:v>
                </c:pt>
                <c:pt idx="47">
                  <c:v>-2222.36</c:v>
                </c:pt>
                <c:pt idx="48">
                  <c:v>-2198.72</c:v>
                </c:pt>
                <c:pt idx="49">
                  <c:v>-2156.96</c:v>
                </c:pt>
                <c:pt idx="50">
                  <c:v>-2140.15</c:v>
                </c:pt>
                <c:pt idx="51">
                  <c:v>-2105.77</c:v>
                </c:pt>
                <c:pt idx="52">
                  <c:v>-2081.37</c:v>
                </c:pt>
                <c:pt idx="53">
                  <c:v>-2039.83</c:v>
                </c:pt>
                <c:pt idx="54">
                  <c:v>-2001.27</c:v>
                </c:pt>
                <c:pt idx="55">
                  <c:v>-1968.2</c:v>
                </c:pt>
                <c:pt idx="56">
                  <c:v>-1935.5</c:v>
                </c:pt>
                <c:pt idx="57">
                  <c:v>-1902.76</c:v>
                </c:pt>
                <c:pt idx="58">
                  <c:v>-1869.56</c:v>
                </c:pt>
                <c:pt idx="59">
                  <c:v>-1839.98</c:v>
                </c:pt>
                <c:pt idx="60">
                  <c:v>-1807.39</c:v>
                </c:pt>
                <c:pt idx="61">
                  <c:v>-1773.08</c:v>
                </c:pt>
                <c:pt idx="62">
                  <c:v>-1737.6</c:v>
                </c:pt>
                <c:pt idx="63">
                  <c:v>-1704.96</c:v>
                </c:pt>
                <c:pt idx="64">
                  <c:v>-1667.06</c:v>
                </c:pt>
                <c:pt idx="65">
                  <c:v>-1630.35</c:v>
                </c:pt>
                <c:pt idx="66">
                  <c:v>-1589.17</c:v>
                </c:pt>
                <c:pt idx="67">
                  <c:v>-1553.88</c:v>
                </c:pt>
                <c:pt idx="68">
                  <c:v>-1518.54</c:v>
                </c:pt>
                <c:pt idx="69">
                  <c:v>-1481.78</c:v>
                </c:pt>
                <c:pt idx="70">
                  <c:v>-1448.45</c:v>
                </c:pt>
                <c:pt idx="71">
                  <c:v>-1409.65</c:v>
                </c:pt>
                <c:pt idx="72">
                  <c:v>-1362.08</c:v>
                </c:pt>
                <c:pt idx="73">
                  <c:v>-1324.67</c:v>
                </c:pt>
                <c:pt idx="74">
                  <c:v>-1284.84</c:v>
                </c:pt>
                <c:pt idx="75">
                  <c:v>-1246.14</c:v>
                </c:pt>
                <c:pt idx="76">
                  <c:v>-1199.38</c:v>
                </c:pt>
                <c:pt idx="77">
                  <c:v>-1152.94</c:v>
                </c:pt>
                <c:pt idx="78">
                  <c:v>-1112.71</c:v>
                </c:pt>
                <c:pt idx="79">
                  <c:v>-1064.11</c:v>
                </c:pt>
                <c:pt idx="80">
                  <c:v>-1016.48</c:v>
                </c:pt>
                <c:pt idx="81">
                  <c:v>-969.68</c:v>
                </c:pt>
                <c:pt idx="82">
                  <c:v>-916.03</c:v>
                </c:pt>
                <c:pt idx="83">
                  <c:v>-868.6</c:v>
                </c:pt>
                <c:pt idx="84">
                  <c:v>-809.94</c:v>
                </c:pt>
                <c:pt idx="85">
                  <c:v>-758.15</c:v>
                </c:pt>
                <c:pt idx="86">
                  <c:v>-697.28</c:v>
                </c:pt>
                <c:pt idx="87">
                  <c:v>-641.26</c:v>
                </c:pt>
                <c:pt idx="88">
                  <c:v>-577.81</c:v>
                </c:pt>
                <c:pt idx="89">
                  <c:v>-513.25</c:v>
                </c:pt>
                <c:pt idx="90">
                  <c:v>-449.5</c:v>
                </c:pt>
                <c:pt idx="91">
                  <c:v>-388.48</c:v>
                </c:pt>
                <c:pt idx="92">
                  <c:v>-317.17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308.25</c:v>
                </c:pt>
                <c:pt idx="109">
                  <c:v>374.8</c:v>
                </c:pt>
                <c:pt idx="110">
                  <c:v>440.8</c:v>
                </c:pt>
                <c:pt idx="111">
                  <c:v>508.01</c:v>
                </c:pt>
                <c:pt idx="112">
                  <c:v>572.86</c:v>
                </c:pt>
                <c:pt idx="113">
                  <c:v>630.43</c:v>
                </c:pt>
                <c:pt idx="114">
                  <c:v>688.25</c:v>
                </c:pt>
                <c:pt idx="115">
                  <c:v>749.32</c:v>
                </c:pt>
                <c:pt idx="116">
                  <c:v>803.61</c:v>
                </c:pt>
                <c:pt idx="117">
                  <c:v>859.4</c:v>
                </c:pt>
                <c:pt idx="118">
                  <c:v>906.13</c:v>
                </c:pt>
                <c:pt idx="119">
                  <c:v>961.53</c:v>
                </c:pt>
                <c:pt idx="120">
                  <c:v>1007.38</c:v>
                </c:pt>
                <c:pt idx="121">
                  <c:v>1056.66</c:v>
                </c:pt>
                <c:pt idx="122">
                  <c:v>1104.32</c:v>
                </c:pt>
                <c:pt idx="123">
                  <c:v>1147.5</c:v>
                </c:pt>
                <c:pt idx="124">
                  <c:v>1194.61</c:v>
                </c:pt>
                <c:pt idx="125">
                  <c:v>1237.07</c:v>
                </c:pt>
                <c:pt idx="126">
                  <c:v>1278.89</c:v>
                </c:pt>
                <c:pt idx="127">
                  <c:v>1319.08</c:v>
                </c:pt>
                <c:pt idx="128">
                  <c:v>1359.21</c:v>
                </c:pt>
                <c:pt idx="129">
                  <c:v>1408.65</c:v>
                </c:pt>
                <c:pt idx="130">
                  <c:v>1443.5</c:v>
                </c:pt>
                <c:pt idx="131">
                  <c:v>1479.63</c:v>
                </c:pt>
                <c:pt idx="132">
                  <c:v>1516.03</c:v>
                </c:pt>
                <c:pt idx="133">
                  <c:v>1548.64</c:v>
                </c:pt>
                <c:pt idx="134">
                  <c:v>1583.02</c:v>
                </c:pt>
                <c:pt idx="135">
                  <c:v>1628.86</c:v>
                </c:pt>
                <c:pt idx="136">
                  <c:v>1668.42</c:v>
                </c:pt>
                <c:pt idx="137">
                  <c:v>1699.09</c:v>
                </c:pt>
                <c:pt idx="138">
                  <c:v>1739.95</c:v>
                </c:pt>
                <c:pt idx="139">
                  <c:v>1766.18</c:v>
                </c:pt>
                <c:pt idx="140">
                  <c:v>1802.32</c:v>
                </c:pt>
                <c:pt idx="141">
                  <c:v>1835.1</c:v>
                </c:pt>
                <c:pt idx="142">
                  <c:v>1865.47</c:v>
                </c:pt>
                <c:pt idx="143">
                  <c:v>1900.85</c:v>
                </c:pt>
                <c:pt idx="144">
                  <c:v>1929.78</c:v>
                </c:pt>
                <c:pt idx="145">
                  <c:v>1960.82</c:v>
                </c:pt>
                <c:pt idx="146">
                  <c:v>1994.08</c:v>
                </c:pt>
                <c:pt idx="147">
                  <c:v>2030.99</c:v>
                </c:pt>
                <c:pt idx="148">
                  <c:v>2071.37</c:v>
                </c:pt>
                <c:pt idx="149">
                  <c:v>2106.28</c:v>
                </c:pt>
                <c:pt idx="150">
                  <c:v>2128.7</c:v>
                </c:pt>
                <c:pt idx="151">
                  <c:v>2160.39</c:v>
                </c:pt>
                <c:pt idx="152">
                  <c:v>2189.6</c:v>
                </c:pt>
                <c:pt idx="153">
                  <c:v>2219.18</c:v>
                </c:pt>
                <c:pt idx="154">
                  <c:v>2243.76</c:v>
                </c:pt>
                <c:pt idx="155">
                  <c:v>2266.35</c:v>
                </c:pt>
                <c:pt idx="156">
                  <c:v>2305.35</c:v>
                </c:pt>
                <c:pt idx="157">
                  <c:v>2341.59</c:v>
                </c:pt>
                <c:pt idx="158">
                  <c:v>2391.8</c:v>
                </c:pt>
                <c:pt idx="159">
                  <c:v>2415.81</c:v>
                </c:pt>
                <c:pt idx="160">
                  <c:v>2445.98</c:v>
                </c:pt>
                <c:pt idx="161">
                  <c:v>2475.13</c:v>
                </c:pt>
                <c:pt idx="162">
                  <c:v>2497.91</c:v>
                </c:pt>
                <c:pt idx="163">
                  <c:v>2537.88</c:v>
                </c:pt>
                <c:pt idx="164">
                  <c:v>2583.51</c:v>
                </c:pt>
                <c:pt idx="165">
                  <c:v>2608.66</c:v>
                </c:pt>
                <c:pt idx="166">
                  <c:v>2639.26</c:v>
                </c:pt>
                <c:pt idx="167">
                  <c:v>2663.25</c:v>
                </c:pt>
                <c:pt idx="168">
                  <c:v>2688.12</c:v>
                </c:pt>
                <c:pt idx="169">
                  <c:v>2710.8</c:v>
                </c:pt>
                <c:pt idx="170">
                  <c:v>2735.48</c:v>
                </c:pt>
                <c:pt idx="171">
                  <c:v>2765.9</c:v>
                </c:pt>
                <c:pt idx="172">
                  <c:v>2809.4</c:v>
                </c:pt>
                <c:pt idx="173">
                  <c:v>2822.46</c:v>
                </c:pt>
                <c:pt idx="174">
                  <c:v>2853.6</c:v>
                </c:pt>
                <c:pt idx="175">
                  <c:v>2888</c:v>
                </c:pt>
                <c:pt idx="176">
                  <c:v>2903.17</c:v>
                </c:pt>
                <c:pt idx="177">
                  <c:v>2933.63</c:v>
                </c:pt>
                <c:pt idx="178">
                  <c:v>2973.17</c:v>
                </c:pt>
                <c:pt idx="179">
                  <c:v>3001.72</c:v>
                </c:pt>
                <c:pt idx="180">
                  <c:v>3041.86</c:v>
                </c:pt>
                <c:pt idx="181">
                  <c:v>3065.09</c:v>
                </c:pt>
                <c:pt idx="182">
                  <c:v>3107.61</c:v>
                </c:pt>
                <c:pt idx="183">
                  <c:v>3124.51</c:v>
                </c:pt>
                <c:pt idx="184">
                  <c:v>3153.38</c:v>
                </c:pt>
                <c:pt idx="185">
                  <c:v>3180.33</c:v>
                </c:pt>
                <c:pt idx="186">
                  <c:v>3204.34</c:v>
                </c:pt>
                <c:pt idx="187">
                  <c:v>3242.32</c:v>
                </c:pt>
                <c:pt idx="188">
                  <c:v>3260.1</c:v>
                </c:pt>
                <c:pt idx="189">
                  <c:v>3299.33</c:v>
                </c:pt>
                <c:pt idx="190">
                  <c:v>3307.84</c:v>
                </c:pt>
                <c:pt idx="191">
                  <c:v>3351.13</c:v>
                </c:pt>
                <c:pt idx="192">
                  <c:v>3378.76</c:v>
                </c:pt>
                <c:pt idx="193">
                  <c:v>3405.6</c:v>
                </c:pt>
                <c:pt idx="194">
                  <c:v>3427.86</c:v>
                </c:pt>
                <c:pt idx="195">
                  <c:v>3437.91</c:v>
                </c:pt>
                <c:pt idx="196">
                  <c:v>3454.99</c:v>
                </c:pt>
                <c:pt idx="197">
                  <c:v>3493.84</c:v>
                </c:pt>
                <c:pt idx="198">
                  <c:v>3515.95</c:v>
                </c:pt>
                <c:pt idx="199">
                  <c:v>3527.23</c:v>
                </c:pt>
                <c:pt idx="200">
                  <c:v>3533.445</c:v>
                </c:pt>
              </c:numCache>
            </c:numRef>
          </c:xVal>
          <c:yVal>
            <c:numRef>
              <c:f>'16 V'!$L$4:$L$204</c:f>
              <c:numCache>
                <c:formatCode>General</c:formatCode>
                <c:ptCount val="201"/>
                <c:pt idx="0">
                  <c:v>-39.587543515981</c:v>
                </c:pt>
                <c:pt idx="1">
                  <c:v>-39.6629142673738</c:v>
                </c:pt>
                <c:pt idx="2">
                  <c:v>-39.2308715268087</c:v>
                </c:pt>
                <c:pt idx="3">
                  <c:v>-38.5976225464196</c:v>
                </c:pt>
                <c:pt idx="4">
                  <c:v>-38.3459905589364</c:v>
                </c:pt>
                <c:pt idx="5">
                  <c:v>-38.0055663651353</c:v>
                </c:pt>
                <c:pt idx="6">
                  <c:v>-37.5401561558033</c:v>
                </c:pt>
                <c:pt idx="7">
                  <c:v>-37.1484167463451</c:v>
                </c:pt>
                <c:pt idx="8">
                  <c:v>-36.4188679921729</c:v>
                </c:pt>
                <c:pt idx="9">
                  <c:v>-36.0561524486482</c:v>
                </c:pt>
                <c:pt idx="10">
                  <c:v>-35.5277130948164</c:v>
                </c:pt>
                <c:pt idx="11">
                  <c:v>-34.7819842090718</c:v>
                </c:pt>
                <c:pt idx="12">
                  <c:v>-34.2617251584848</c:v>
                </c:pt>
                <c:pt idx="13">
                  <c:v>-33.9192494861994</c:v>
                </c:pt>
                <c:pt idx="14">
                  <c:v>-33.2849134991033</c:v>
                </c:pt>
                <c:pt idx="15">
                  <c:v>-32.7839184870671</c:v>
                </c:pt>
                <c:pt idx="16">
                  <c:v>-31.9263736302557</c:v>
                </c:pt>
                <c:pt idx="17">
                  <c:v>-31.4123347339534</c:v>
                </c:pt>
                <c:pt idx="18">
                  <c:v>-30.9075154314463</c:v>
                </c:pt>
                <c:pt idx="19">
                  <c:v>-30.6733325513917</c:v>
                </c:pt>
                <c:pt idx="20">
                  <c:v>-29.7459028651044</c:v>
                </c:pt>
                <c:pt idx="21">
                  <c:v>-29.4378870624998</c:v>
                </c:pt>
                <c:pt idx="22">
                  <c:v>-28.7444324633874</c:v>
                </c:pt>
                <c:pt idx="23">
                  <c:v>-28.0836819046352</c:v>
                </c:pt>
                <c:pt idx="24">
                  <c:v>-27.6553438922457</c:v>
                </c:pt>
                <c:pt idx="25">
                  <c:v>-27.0637703264265</c:v>
                </c:pt>
                <c:pt idx="26">
                  <c:v>-26.6947044019053</c:v>
                </c:pt>
                <c:pt idx="27">
                  <c:v>-26.2482845640866</c:v>
                </c:pt>
                <c:pt idx="28">
                  <c:v>-25.7143817549844</c:v>
                </c:pt>
                <c:pt idx="29">
                  <c:v>-25.0943651487449</c:v>
                </c:pt>
                <c:pt idx="30">
                  <c:v>-24.6929842764394</c:v>
                </c:pt>
                <c:pt idx="31">
                  <c:v>-24.2565444005592</c:v>
                </c:pt>
                <c:pt idx="32">
                  <c:v>-23.7083755254273</c:v>
                </c:pt>
                <c:pt idx="33">
                  <c:v>-23.3451232413417</c:v>
                </c:pt>
                <c:pt idx="34">
                  <c:v>-22.7931900270529</c:v>
                </c:pt>
                <c:pt idx="35">
                  <c:v>-22.269792846777</c:v>
                </c:pt>
                <c:pt idx="36">
                  <c:v>-21.8822539134472</c:v>
                </c:pt>
                <c:pt idx="37">
                  <c:v>-21.4081169924872</c:v>
                </c:pt>
                <c:pt idx="38">
                  <c:v>-20.8978107342773</c:v>
                </c:pt>
                <c:pt idx="39">
                  <c:v>-20.3182820022246</c:v>
                </c:pt>
                <c:pt idx="40">
                  <c:v>-19.636501090585</c:v>
                </c:pt>
                <c:pt idx="41">
                  <c:v>-19.2923155655478</c:v>
                </c:pt>
                <c:pt idx="42">
                  <c:v>-18.5152693219242</c:v>
                </c:pt>
                <c:pt idx="43">
                  <c:v>-18.1416296696671</c:v>
                </c:pt>
                <c:pt idx="44">
                  <c:v>-17.5422649363802</c:v>
                </c:pt>
                <c:pt idx="45">
                  <c:v>-17.110952371966</c:v>
                </c:pt>
                <c:pt idx="46">
                  <c:v>-16.6676552232202</c:v>
                </c:pt>
                <c:pt idx="47">
                  <c:v>-16.2874375044448</c:v>
                </c:pt>
                <c:pt idx="48">
                  <c:v>-15.9427704403435</c:v>
                </c:pt>
                <c:pt idx="49">
                  <c:v>-15.3429235733997</c:v>
                </c:pt>
                <c:pt idx="50">
                  <c:v>-15.1047091115895</c:v>
                </c:pt>
                <c:pt idx="51">
                  <c:v>-14.6233140635943</c:v>
                </c:pt>
                <c:pt idx="52">
                  <c:v>-14.2863906071195</c:v>
                </c:pt>
                <c:pt idx="53">
                  <c:v>-13.7218253839723</c:v>
                </c:pt>
                <c:pt idx="54">
                  <c:v>-13.2079467490695</c:v>
                </c:pt>
                <c:pt idx="55">
                  <c:v>-12.7750436867675</c:v>
                </c:pt>
                <c:pt idx="56">
                  <c:v>-12.3540766150965</c:v>
                </c:pt>
                <c:pt idx="57">
                  <c:v>-11.9396601478678</c:v>
                </c:pt>
                <c:pt idx="58">
                  <c:v>-11.5266406552155</c:v>
                </c:pt>
                <c:pt idx="59">
                  <c:v>-11.1647793318434</c:v>
                </c:pt>
                <c:pt idx="60">
                  <c:v>-10.7727774777516</c:v>
                </c:pt>
                <c:pt idx="61">
                  <c:v>-10.3676565334593</c:v>
                </c:pt>
                <c:pt idx="62">
                  <c:v>-9.95688646033177</c:v>
                </c:pt>
                <c:pt idx="63">
                  <c:v>-9.58632896062496</c:v>
                </c:pt>
                <c:pt idx="64">
                  <c:v>-9.16487194182619</c:v>
                </c:pt>
                <c:pt idx="65">
                  <c:v>-8.76568045198868</c:v>
                </c:pt>
                <c:pt idx="66">
                  <c:v>-8.32845905391551</c:v>
                </c:pt>
                <c:pt idx="67">
                  <c:v>-7.9626732157298</c:v>
                </c:pt>
                <c:pt idx="68">
                  <c:v>-7.60460063389444</c:v>
                </c:pt>
                <c:pt idx="69">
                  <c:v>-7.24088077097964</c:v>
                </c:pt>
                <c:pt idx="70">
                  <c:v>-6.918802843398</c:v>
                </c:pt>
                <c:pt idx="71">
                  <c:v>-6.55309600229424</c:v>
                </c:pt>
                <c:pt idx="72">
                  <c:v>-6.11827750289569</c:v>
                </c:pt>
                <c:pt idx="73">
                  <c:v>-5.78681156598621</c:v>
                </c:pt>
                <c:pt idx="74">
                  <c:v>-5.44404913770651</c:v>
                </c:pt>
                <c:pt idx="75">
                  <c:v>-5.12103344819606</c:v>
                </c:pt>
                <c:pt idx="76">
                  <c:v>-4.74392204888798</c:v>
                </c:pt>
                <c:pt idx="77">
                  <c:v>-4.38366494685672</c:v>
                </c:pt>
                <c:pt idx="78">
                  <c:v>-4.08308030142762</c:v>
                </c:pt>
                <c:pt idx="79">
                  <c:v>-3.73419495639105</c:v>
                </c:pt>
                <c:pt idx="80">
                  <c:v>-3.40738819940753</c:v>
                </c:pt>
                <c:pt idx="81">
                  <c:v>-3.10085040847867</c:v>
                </c:pt>
                <c:pt idx="82">
                  <c:v>-2.76721773969115</c:v>
                </c:pt>
                <c:pt idx="83">
                  <c:v>-2.48807569652748</c:v>
                </c:pt>
                <c:pt idx="84">
                  <c:v>-2.16336417946682</c:v>
                </c:pt>
                <c:pt idx="85">
                  <c:v>-1.89554551791138</c:v>
                </c:pt>
                <c:pt idx="86">
                  <c:v>-1.60338699286754</c:v>
                </c:pt>
                <c:pt idx="87">
                  <c:v>-1.3561016375742</c:v>
                </c:pt>
                <c:pt idx="88">
                  <c:v>-1.10101705565647</c:v>
                </c:pt>
                <c:pt idx="89">
                  <c:v>-0.868724070599992</c:v>
                </c:pt>
                <c:pt idx="90">
                  <c:v>-0.666320739642517</c:v>
                </c:pt>
                <c:pt idx="91">
                  <c:v>-0.497692698218109</c:v>
                </c:pt>
                <c:pt idx="92">
                  <c:v>-0.331747870205184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0.313350296198094</c:v>
                </c:pt>
                <c:pt idx="109">
                  <c:v>0.463258187278225</c:v>
                </c:pt>
                <c:pt idx="110">
                  <c:v>0.640777289019801</c:v>
                </c:pt>
                <c:pt idx="111">
                  <c:v>0.851076230989337</c:v>
                </c:pt>
                <c:pt idx="112">
                  <c:v>1.08223340820665</c:v>
                </c:pt>
                <c:pt idx="113">
                  <c:v>1.31068304713089</c:v>
                </c:pt>
                <c:pt idx="114">
                  <c:v>1.56212714492969</c:v>
                </c:pt>
                <c:pt idx="115">
                  <c:v>1.85164867156161</c:v>
                </c:pt>
                <c:pt idx="116">
                  <c:v>2.12968123287102</c:v>
                </c:pt>
                <c:pt idx="117">
                  <c:v>2.43564863647415</c:v>
                </c:pt>
                <c:pt idx="118">
                  <c:v>2.70772751045572</c:v>
                </c:pt>
                <c:pt idx="119">
                  <c:v>3.04894518690047</c:v>
                </c:pt>
                <c:pt idx="120">
                  <c:v>3.34665225367914</c:v>
                </c:pt>
                <c:pt idx="121">
                  <c:v>3.68209063030961</c:v>
                </c:pt>
                <c:pt idx="122">
                  <c:v>4.02173836667453</c:v>
                </c:pt>
                <c:pt idx="123">
                  <c:v>4.34239501524451</c:v>
                </c:pt>
                <c:pt idx="124">
                  <c:v>4.7062634073156</c:v>
                </c:pt>
                <c:pt idx="125">
                  <c:v>5.04675810373268</c:v>
                </c:pt>
                <c:pt idx="126">
                  <c:v>5.39374390177847</c:v>
                </c:pt>
                <c:pt idx="127">
                  <c:v>5.73807486461685</c:v>
                </c:pt>
                <c:pt idx="128">
                  <c:v>6.0925213697495</c:v>
                </c:pt>
                <c:pt idx="129">
                  <c:v>6.54380182057195</c:v>
                </c:pt>
                <c:pt idx="130">
                  <c:v>6.8715943742083</c:v>
                </c:pt>
                <c:pt idx="131">
                  <c:v>7.21988359261234</c:v>
                </c:pt>
                <c:pt idx="132">
                  <c:v>7.57948206914873</c:v>
                </c:pt>
                <c:pt idx="133">
                  <c:v>7.90906025199006</c:v>
                </c:pt>
                <c:pt idx="134">
                  <c:v>8.26412243309677</c:v>
                </c:pt>
                <c:pt idx="135">
                  <c:v>8.7496656139244</c:v>
                </c:pt>
                <c:pt idx="136">
                  <c:v>9.17983158340496</c:v>
                </c:pt>
                <c:pt idx="137">
                  <c:v>9.52043312482229</c:v>
                </c:pt>
                <c:pt idx="138">
                  <c:v>9.98383685839928</c:v>
                </c:pt>
                <c:pt idx="139">
                  <c:v>10.2871213787004</c:v>
                </c:pt>
                <c:pt idx="140">
                  <c:v>10.7124237345116</c:v>
                </c:pt>
                <c:pt idx="141">
                  <c:v>11.1056353502034</c:v>
                </c:pt>
                <c:pt idx="142">
                  <c:v>11.4762626065645</c:v>
                </c:pt>
                <c:pt idx="143">
                  <c:v>11.9157019974747</c:v>
                </c:pt>
                <c:pt idx="144">
                  <c:v>12.2811642933985</c:v>
                </c:pt>
                <c:pt idx="145">
                  <c:v>12.6794202077467</c:v>
                </c:pt>
                <c:pt idx="146">
                  <c:v>13.1132123597892</c:v>
                </c:pt>
                <c:pt idx="147">
                  <c:v>13.6031506946154</c:v>
                </c:pt>
                <c:pt idx="148">
                  <c:v>14.1494416655397</c:v>
                </c:pt>
                <c:pt idx="149">
                  <c:v>14.630398211713</c:v>
                </c:pt>
                <c:pt idx="150">
                  <c:v>14.9435182857237</c:v>
                </c:pt>
                <c:pt idx="151">
                  <c:v>15.3917590371982</c:v>
                </c:pt>
                <c:pt idx="152">
                  <c:v>15.810787722732</c:v>
                </c:pt>
                <c:pt idx="153">
                  <c:v>16.2408590968799</c:v>
                </c:pt>
                <c:pt idx="154">
                  <c:v>16.6026243620164</c:v>
                </c:pt>
                <c:pt idx="155">
                  <c:v>16.9386150988943</c:v>
                </c:pt>
                <c:pt idx="156">
                  <c:v>17.5266001298038</c:v>
                </c:pt>
                <c:pt idx="157">
                  <c:v>18.0819660079602</c:v>
                </c:pt>
                <c:pt idx="158">
                  <c:v>18.8657320613813</c:v>
                </c:pt>
                <c:pt idx="159">
                  <c:v>19.24639914855</c:v>
                </c:pt>
                <c:pt idx="160">
                  <c:v>19.7301207090039</c:v>
                </c:pt>
                <c:pt idx="161">
                  <c:v>20.2031908865714</c:v>
                </c:pt>
                <c:pt idx="162">
                  <c:v>20.5767846443748</c:v>
                </c:pt>
                <c:pt idx="163">
                  <c:v>21.2405669913892</c:v>
                </c:pt>
                <c:pt idx="164">
                  <c:v>22.0112259955269</c:v>
                </c:pt>
                <c:pt idx="165">
                  <c:v>22.4418624904184</c:v>
                </c:pt>
                <c:pt idx="166">
                  <c:v>22.9714437051961</c:v>
                </c:pt>
                <c:pt idx="167">
                  <c:v>23.3909472966048</c:v>
                </c:pt>
                <c:pt idx="168">
                  <c:v>23.8298464103964</c:v>
                </c:pt>
                <c:pt idx="169">
                  <c:v>24.2336534460164</c:v>
                </c:pt>
                <c:pt idx="170">
                  <c:v>24.6769241807261</c:v>
                </c:pt>
                <c:pt idx="171">
                  <c:v>25.2288170629557</c:v>
                </c:pt>
                <c:pt idx="172">
                  <c:v>26.0286171317911</c:v>
                </c:pt>
                <c:pt idx="173">
                  <c:v>26.2711770102231</c:v>
                </c:pt>
                <c:pt idx="174">
                  <c:v>26.854070929586</c:v>
                </c:pt>
                <c:pt idx="175">
                  <c:v>27.505422275404</c:v>
                </c:pt>
                <c:pt idx="176">
                  <c:v>27.7951405123385</c:v>
                </c:pt>
                <c:pt idx="177">
                  <c:v>28.3814523333098</c:v>
                </c:pt>
                <c:pt idx="178">
                  <c:v>29.1516689257572</c:v>
                </c:pt>
                <c:pt idx="179">
                  <c:v>29.7142174189789</c:v>
                </c:pt>
                <c:pt idx="180">
                  <c:v>30.5142277263403</c:v>
                </c:pt>
                <c:pt idx="181">
                  <c:v>30.9820679010171</c:v>
                </c:pt>
                <c:pt idx="182">
                  <c:v>31.8476183084936</c:v>
                </c:pt>
                <c:pt idx="183">
                  <c:v>32.1949516310418</c:v>
                </c:pt>
                <c:pt idx="184">
                  <c:v>32.7926532397138</c:v>
                </c:pt>
                <c:pt idx="185">
                  <c:v>33.3555657272964</c:v>
                </c:pt>
                <c:pt idx="186">
                  <c:v>33.8611045982601</c:v>
                </c:pt>
                <c:pt idx="187">
                  <c:v>34.6685509290264</c:v>
                </c:pt>
                <c:pt idx="188">
                  <c:v>35.0498192425412</c:v>
                </c:pt>
                <c:pt idx="189">
                  <c:v>35.8984296406844</c:v>
                </c:pt>
                <c:pt idx="190">
                  <c:v>36.0838549363989</c:v>
                </c:pt>
                <c:pt idx="191">
                  <c:v>37.0345004066213</c:v>
                </c:pt>
                <c:pt idx="192">
                  <c:v>37.6477154348424</c:v>
                </c:pt>
                <c:pt idx="193">
                  <c:v>38.2482186478437</c:v>
                </c:pt>
                <c:pt idx="194">
                  <c:v>38.7498558715788</c:v>
                </c:pt>
                <c:pt idx="195">
                  <c:v>38.977407135155</c:v>
                </c:pt>
                <c:pt idx="196">
                  <c:v>39.3656592082155</c:v>
                </c:pt>
                <c:pt idx="197">
                  <c:v>40.2559392738574</c:v>
                </c:pt>
                <c:pt idx="198">
                  <c:v>40.7670531705053</c:v>
                </c:pt>
                <c:pt idx="199">
                  <c:v>41.0290534932535</c:v>
                </c:pt>
                <c:pt idx="200">
                  <c:v>41.1737677417177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'16 V'!$P$51</c:f>
              <c:strCache>
                <c:ptCount val="1"/>
                <c:pt idx="0">
                  <c:v>interp table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'16 V'!$Q$53:$AG$53</c:f>
              <c:numCache>
                <c:formatCode>General</c:formatCode>
                <c:ptCount val="17"/>
                <c:pt idx="0">
                  <c:v>-3464.71333333333</c:v>
                </c:pt>
                <c:pt idx="1">
                  <c:v>-3215.165</c:v>
                </c:pt>
                <c:pt idx="2">
                  <c:v>-2864.72</c:v>
                </c:pt>
                <c:pt idx="3">
                  <c:v>-2532.595</c:v>
                </c:pt>
                <c:pt idx="4">
                  <c:v>-2140.15</c:v>
                </c:pt>
                <c:pt idx="5">
                  <c:v>-1721.28</c:v>
                </c:pt>
                <c:pt idx="6">
                  <c:v>-1246.14</c:v>
                </c:pt>
                <c:pt idx="7">
                  <c:v>-609.535</c:v>
                </c:pt>
                <c:pt idx="8">
                  <c:v>0</c:v>
                </c:pt>
                <c:pt idx="9">
                  <c:v>601.645</c:v>
                </c:pt>
                <c:pt idx="10">
                  <c:v>1237.07</c:v>
                </c:pt>
                <c:pt idx="11">
                  <c:v>1719.52</c:v>
                </c:pt>
                <c:pt idx="12">
                  <c:v>2128.7</c:v>
                </c:pt>
                <c:pt idx="13">
                  <c:v>2517.895</c:v>
                </c:pt>
                <c:pt idx="14">
                  <c:v>2888</c:v>
                </c:pt>
                <c:pt idx="15">
                  <c:v>3251.21</c:v>
                </c:pt>
                <c:pt idx="16">
                  <c:v>3533.445</c:v>
                </c:pt>
              </c:numCache>
            </c:numRef>
          </c:xVal>
          <c:yVal>
            <c:numRef>
              <c:f>'16 V'!$Q$55:$AG$55</c:f>
              <c:numCache>
                <c:formatCode>General</c:formatCode>
                <c:ptCount val="17"/>
                <c:pt idx="0">
                  <c:v>-39.9215617836</c:v>
                </c:pt>
                <c:pt idx="1">
                  <c:v>-34.1962328412</c:v>
                </c:pt>
                <c:pt idx="2">
                  <c:v>-26.5649329944</c:v>
                </c:pt>
                <c:pt idx="3">
                  <c:v>-20.135062278</c:v>
                </c:pt>
                <c:pt idx="4">
                  <c:v>-14.1056679384</c:v>
                </c:pt>
                <c:pt idx="5">
                  <c:v>-9.0552158532</c:v>
                </c:pt>
                <c:pt idx="6">
                  <c:v>-4.7167217712</c:v>
                </c:pt>
                <c:pt idx="7">
                  <c:v>-1.1346830676</c:v>
                </c:pt>
                <c:pt idx="8">
                  <c:v>0</c:v>
                </c:pt>
                <c:pt idx="9">
                  <c:v>1.3794186312</c:v>
                </c:pt>
                <c:pt idx="10">
                  <c:v>5.9181509016</c:v>
                </c:pt>
                <c:pt idx="11">
                  <c:v>11.4135767388</c:v>
                </c:pt>
                <c:pt idx="12">
                  <c:v>17.8879448304</c:v>
                </c:pt>
                <c:pt idx="13">
                  <c:v>25.6527368028</c:v>
                </c:pt>
                <c:pt idx="14">
                  <c:v>33.5510209008</c:v>
                </c:pt>
                <c:pt idx="15">
                  <c:v>43.607427696</c:v>
                </c:pt>
                <c:pt idx="16">
                  <c:v>51.4537981896</c:v>
                </c:pt>
              </c:numCache>
            </c:numRef>
          </c:yVal>
          <c:smooth val="0"/>
        </c:ser>
        <c:axId val="68960173"/>
        <c:axId val="26940064"/>
      </c:scatterChart>
      <c:valAx>
        <c:axId val="689601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6940064"/>
        <c:crosses val="autoZero"/>
        <c:crossBetween val="midCat"/>
      </c:valAx>
      <c:valAx>
        <c:axId val="269400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96017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399960</xdr:colOff>
      <xdr:row>0</xdr:row>
      <xdr:rowOff>104760</xdr:rowOff>
    </xdr:from>
    <xdr:to>
      <xdr:col>11</xdr:col>
      <xdr:colOff>311040</xdr:colOff>
      <xdr:row>32</xdr:row>
      <xdr:rowOff>56520</xdr:rowOff>
    </xdr:to>
    <xdr:sp>
      <xdr:nvSpPr>
        <xdr:cNvPr id="1" name="CustomShape 1"/>
        <xdr:cNvSpPr/>
      </xdr:nvSpPr>
      <xdr:spPr>
        <a:xfrm>
          <a:off x="399960" y="104760"/>
          <a:ext cx="6693480" cy="55602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Critical Notes</a:t>
          </a:r>
          <a:endParaRPr lang="en-GB" sz="11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All input signals from 1100-1500µs correspond to the thruster running in the REVERSE direction for the           purposes of this test.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All input signals from 1500-1900µs correspond to the thruster running in the FORWARD direction for the purposes of this test.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This data represents </a:t>
          </a: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Bollard thrust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 of the thruster in </a:t>
          </a: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static conditions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 with a </a:t>
          </a: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water inlet velocity of zero.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All testing is carried out with the Blue Robotics Basic ESC R3, running the stock firmware settings and version 16.6 of BlHeli_S. </a:t>
          </a: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All results are dependent on the ESC model and firmware settings, they may vary slightly with other brushless ESCs.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A single standard T200 (manufactured August 2019) and Basic ESC R3 are used for all the following tests.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The ESC/thruster are powered by a Magna-Power XR series power supply, with voltage remote sense probes located at the ESC power input on the PCB to eliminate voltage drop between the power supply and ESC.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The ESC is connected to the thruster via soldered pairs of 4 mm bullet connectors on each phase, with the thruster cable being the retail standard 1 m long 18 AWG configuration. </a:t>
          </a: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Longer cables will introduce more voltage drop and affect performance.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Voltage and current draw data was read directly from the power supply over serial, with the force measured by a Measurement Specialties FC2231-0000-0050-L force sensor. RPM is measured with an Eagle Tree Systems Brushless Motor RPM Sensor V2 accross 2 phases.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RPM is a resultant of the given the load on the thruster by the propeller/input voltage at static conditions; the Basic ESC is an open loop control system. </a:t>
          </a: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There is no direct relationship between ESC PWM input and RPM.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Power draw and efficiency are calculated based on the above data.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GB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495360</xdr:colOff>
      <xdr:row>0</xdr:row>
      <xdr:rowOff>95400</xdr:rowOff>
    </xdr:from>
    <xdr:to>
      <xdr:col>22</xdr:col>
      <xdr:colOff>407160</xdr:colOff>
      <xdr:row>32</xdr:row>
      <xdr:rowOff>47160</xdr:rowOff>
    </xdr:to>
    <xdr:sp>
      <xdr:nvSpPr>
        <xdr:cNvPr id="2" name="CustomShape 1"/>
        <xdr:cNvSpPr/>
      </xdr:nvSpPr>
      <xdr:spPr>
        <a:xfrm>
          <a:off x="7277760" y="95400"/>
          <a:ext cx="6694200" cy="55602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Testing Methodology</a:t>
          </a:r>
          <a:endParaRPr lang="en-GB" sz="11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Using a Blue Robotics testing program, the test is initialized at each voltage to command the ESC to run the thruster at steps of 4µs from neutral to full throttle.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The thruster jumps immediately from neutral to the input value, and runs for 1.5 seconds with no data collection. This eliminates startup transients.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The thruster continues to run for 2 more seconds, with data being collected at 10hz for a total of 20 data points. The short collection time is necessary to reduce the effect of circulating water in the tank making inlet velocity non-zero, and thus breaking static conditions.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The resulting data points are then averaged to generate a final set of values for the thruster at that throttle input level.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The thruster then rests for 30 seconds to allow the water in the test tank to come to a rest and re-establish static conditions.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When the final full throttle input value is achieved, the previous procedure is repeated 5 times for the full throttle input with all the data averaged. This is an attempt to make the stated full throttle values as fair as possible.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• When organizing the collected data, all values below 300 RPM are dropped to zero, as rotation below this value is not consistent and results in jerky motion and non-constant thrust, power draw, etc.</a:t>
          </a:r>
          <a:endParaRPr lang="en-GB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8</xdr:col>
      <xdr:colOff>353160</xdr:colOff>
      <xdr:row>33</xdr:row>
      <xdr:rowOff>36360</xdr:rowOff>
    </xdr:from>
    <xdr:to>
      <xdr:col>14</xdr:col>
      <xdr:colOff>531000</xdr:colOff>
      <xdr:row>35</xdr:row>
      <xdr:rowOff>159120</xdr:rowOff>
    </xdr:to>
    <xdr:sp>
      <xdr:nvSpPr>
        <xdr:cNvPr id="3" name="CustomShape 1"/>
        <xdr:cNvSpPr/>
      </xdr:nvSpPr>
      <xdr:spPr>
        <a:xfrm>
          <a:off x="5285880" y="5820120"/>
          <a:ext cx="3877200" cy="4604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If you have any questions about the test setup or data collected, please contact </a:t>
          </a:r>
          <a:r>
            <a:rPr lang="en-US" sz="1100" b="0" u="sng" strike="noStrike">
              <a:solidFill>
                <a:srgbClr val="4472C4"/>
              </a:solidFill>
              <a:effectLst/>
              <a:uFillTx/>
              <a:latin typeface="Calibri"/>
              <a:ea typeface="DejaVu Sans"/>
            </a:rPr>
            <a:t>support@bluerobotics.com</a:t>
          </a:r>
          <a:endParaRPr lang="en-GB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GB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207720</xdr:colOff>
      <xdr:row>16</xdr:row>
      <xdr:rowOff>154080</xdr:rowOff>
    </xdr:from>
    <xdr:to>
      <xdr:col>32</xdr:col>
      <xdr:colOff>370080</xdr:colOff>
      <xdr:row>48</xdr:row>
      <xdr:rowOff>150120</xdr:rowOff>
    </xdr:to>
    <xdr:graphicFrame>
      <xdr:nvGraphicFramePr>
        <xdr:cNvPr id="4" name=""/>
        <xdr:cNvGraphicFramePr/>
      </xdr:nvGraphicFramePr>
      <xdr:xfrm>
        <a:off x="13987800" y="2958120"/>
        <a:ext cx="10027800" cy="560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22" activeCellId="0" sqref="X22"/>
    </sheetView>
  </sheetViews>
  <sheetFormatPr defaultColWidth="8.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75" defaultRowHeight="13.8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3" min="3" style="1" width="11.3"/>
    <col collapsed="false" customWidth="true" hidden="false" outlineLevel="0" max="4" min="4" style="1" width="10.99"/>
    <col collapsed="false" customWidth="true" hidden="false" outlineLevel="0" max="5" min="5" style="1" width="10.42"/>
    <col collapsed="false" customWidth="true" hidden="false" outlineLevel="0" max="6" min="6" style="1" width="11.14"/>
    <col collapsed="false" customWidth="true" hidden="false" outlineLevel="0" max="7" min="7" style="1" width="15.1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n">
        <v>1100</v>
      </c>
      <c r="B2" s="2" t="n">
        <v>2662.12</v>
      </c>
      <c r="C2" s="3" t="n">
        <v>13.6166666666667</v>
      </c>
      <c r="D2" s="1" t="n">
        <v>10</v>
      </c>
      <c r="E2" s="4" t="n">
        <v>136.166666666667</v>
      </c>
      <c r="F2" s="3" t="n">
        <v>-2.30953926666667</v>
      </c>
      <c r="G2" s="4" t="n">
        <v>16.9612512591547</v>
      </c>
    </row>
    <row r="3" customFormat="false" ht="13.8" hidden="false" customHeight="false" outlineLevel="0" collapsed="false">
      <c r="A3" s="1" t="n">
        <v>1104</v>
      </c>
      <c r="B3" s="2" t="n">
        <v>2666.99</v>
      </c>
      <c r="C3" s="1" t="n">
        <v>13.63</v>
      </c>
      <c r="D3" s="1" t="n">
        <v>10</v>
      </c>
      <c r="E3" s="1" t="n">
        <f aca="false">D3*C3</f>
        <v>136.3</v>
      </c>
      <c r="F3" s="3" t="n">
        <v>-2.30424736</v>
      </c>
      <c r="G3" s="4" t="n">
        <v>16.9057033015407</v>
      </c>
    </row>
    <row r="4" customFormat="false" ht="13.8" hidden="false" customHeight="false" outlineLevel="0" collapsed="false">
      <c r="A4" s="1" t="n">
        <v>1108</v>
      </c>
      <c r="B4" s="2" t="n">
        <v>2660.54</v>
      </c>
      <c r="C4" s="1" t="n">
        <v>13.45</v>
      </c>
      <c r="D4" s="1" t="n">
        <v>10</v>
      </c>
      <c r="E4" s="1" t="n">
        <f aca="false">D4*C4</f>
        <v>134.5</v>
      </c>
      <c r="F4" s="3" t="n">
        <v>-2.29517552</v>
      </c>
      <c r="G4" s="4" t="n">
        <v>17.0645020074349</v>
      </c>
    </row>
    <row r="5" customFormat="false" ht="13.8" hidden="false" customHeight="false" outlineLevel="0" collapsed="false">
      <c r="A5" s="1" t="n">
        <v>1112</v>
      </c>
      <c r="B5" s="2" t="n">
        <v>2626.69</v>
      </c>
      <c r="C5" s="1" t="n">
        <v>13.2</v>
      </c>
      <c r="D5" s="1" t="n">
        <v>10</v>
      </c>
      <c r="E5" s="1" t="n">
        <f aca="false">D5*C5</f>
        <v>132</v>
      </c>
      <c r="F5" s="3" t="n">
        <v>-2.28156776</v>
      </c>
      <c r="G5" s="4" t="n">
        <v>17.2846042424242</v>
      </c>
    </row>
    <row r="6" customFormat="false" ht="13.8" hidden="false" customHeight="false" outlineLevel="0" collapsed="false">
      <c r="A6" s="1" t="n">
        <v>1116</v>
      </c>
      <c r="B6" s="2" t="n">
        <v>2617.22</v>
      </c>
      <c r="C6" s="1" t="n">
        <v>12.81</v>
      </c>
      <c r="D6" s="1" t="n">
        <v>10</v>
      </c>
      <c r="E6" s="1" t="n">
        <f aca="false">D6*C6</f>
        <v>128.1</v>
      </c>
      <c r="F6" s="3" t="n">
        <v>-2.2226008</v>
      </c>
      <c r="G6" s="4" t="n">
        <v>17.3505136612022</v>
      </c>
    </row>
    <row r="7" customFormat="false" ht="13.8" hidden="false" customHeight="false" outlineLevel="0" collapsed="false">
      <c r="A7" s="1" t="n">
        <v>1120</v>
      </c>
      <c r="B7" s="2" t="n">
        <v>2599.83</v>
      </c>
      <c r="C7" s="1" t="n">
        <v>12.5</v>
      </c>
      <c r="D7" s="1" t="n">
        <v>10</v>
      </c>
      <c r="E7" s="1" t="n">
        <f aca="false">D7*C7</f>
        <v>125</v>
      </c>
      <c r="F7" s="3" t="n">
        <v>-2.18177752</v>
      </c>
      <c r="G7" s="4" t="n">
        <v>17.45422016</v>
      </c>
    </row>
    <row r="8" customFormat="false" ht="13.8" hidden="false" customHeight="false" outlineLevel="0" collapsed="false">
      <c r="A8" s="1" t="n">
        <v>1124</v>
      </c>
      <c r="B8" s="2" t="n">
        <v>2590</v>
      </c>
      <c r="C8" s="1" t="n">
        <v>12.14</v>
      </c>
      <c r="D8" s="1" t="n">
        <v>10</v>
      </c>
      <c r="E8" s="1" t="n">
        <f aca="false">D8*C8</f>
        <v>121.4</v>
      </c>
      <c r="F8" s="3" t="n">
        <v>-2.16363384</v>
      </c>
      <c r="G8" s="4" t="n">
        <v>17.8223545304778</v>
      </c>
    </row>
    <row r="9" customFormat="false" ht="13.8" hidden="false" customHeight="false" outlineLevel="0" collapsed="false">
      <c r="A9" s="1" t="n">
        <v>1128</v>
      </c>
      <c r="B9" s="2" t="n">
        <v>2562.24</v>
      </c>
      <c r="C9" s="1" t="n">
        <v>11.96</v>
      </c>
      <c r="D9" s="1" t="n">
        <v>10</v>
      </c>
      <c r="E9" s="1" t="n">
        <f aca="false">D9*C9</f>
        <v>119.6</v>
      </c>
      <c r="F9" s="3" t="n">
        <v>-2.1318824</v>
      </c>
      <c r="G9" s="4" t="n">
        <v>17.8251036789298</v>
      </c>
    </row>
    <row r="10" customFormat="false" ht="13.8" hidden="false" customHeight="false" outlineLevel="0" collapsed="false">
      <c r="A10" s="1" t="n">
        <v>1132</v>
      </c>
      <c r="B10" s="2" t="n">
        <v>2535.12</v>
      </c>
      <c r="C10" s="1" t="n">
        <v>11.63</v>
      </c>
      <c r="D10" s="1" t="n">
        <v>10</v>
      </c>
      <c r="E10" s="1" t="n">
        <f aca="false">D10*C10</f>
        <v>116.3</v>
      </c>
      <c r="F10" s="3" t="n">
        <v>-2.1092028</v>
      </c>
      <c r="G10" s="4" t="n">
        <v>18.1358796216681</v>
      </c>
    </row>
    <row r="11" customFormat="false" ht="13.8" hidden="false" customHeight="false" outlineLevel="0" collapsed="false">
      <c r="A11" s="1" t="n">
        <v>1136</v>
      </c>
      <c r="B11" s="2" t="n">
        <v>2528.12</v>
      </c>
      <c r="C11" s="1" t="n">
        <v>11.32</v>
      </c>
      <c r="D11" s="1" t="n">
        <v>10</v>
      </c>
      <c r="E11" s="1" t="n">
        <f aca="false">D11*C11</f>
        <v>113.2</v>
      </c>
      <c r="F11" s="3" t="n">
        <v>-2.05477176</v>
      </c>
      <c r="G11" s="4" t="n">
        <v>18.1516939929329</v>
      </c>
    </row>
    <row r="12" customFormat="false" ht="13.8" hidden="false" customHeight="false" outlineLevel="0" collapsed="false">
      <c r="A12" s="1" t="n">
        <v>1140</v>
      </c>
      <c r="B12" s="2" t="n">
        <v>2513.71</v>
      </c>
      <c r="C12" s="1" t="n">
        <v>11</v>
      </c>
      <c r="D12" s="1" t="n">
        <v>10</v>
      </c>
      <c r="E12" s="1" t="n">
        <f aca="false">D12*C12</f>
        <v>110</v>
      </c>
      <c r="F12" s="3" t="n">
        <v>-2.041164</v>
      </c>
      <c r="G12" s="4" t="n">
        <v>18.5560363636364</v>
      </c>
    </row>
    <row r="13" customFormat="false" ht="13.8" hidden="false" customHeight="false" outlineLevel="0" collapsed="false">
      <c r="A13" s="1" t="n">
        <v>1144</v>
      </c>
      <c r="B13" s="2" t="n">
        <v>2484.17</v>
      </c>
      <c r="C13" s="1" t="n">
        <v>10.8</v>
      </c>
      <c r="D13" s="1" t="n">
        <v>10</v>
      </c>
      <c r="E13" s="1" t="n">
        <f aca="false">D13*C13</f>
        <v>108</v>
      </c>
      <c r="F13" s="3" t="n">
        <v>-1.98673296</v>
      </c>
      <c r="G13" s="4" t="n">
        <v>18.3956755555556</v>
      </c>
    </row>
    <row r="14" customFormat="false" ht="13.8" hidden="false" customHeight="false" outlineLevel="0" collapsed="false">
      <c r="A14" s="1" t="n">
        <v>1148</v>
      </c>
      <c r="B14" s="2" t="n">
        <v>2471.72</v>
      </c>
      <c r="C14" s="1" t="n">
        <v>10.45</v>
      </c>
      <c r="D14" s="1" t="n">
        <v>10</v>
      </c>
      <c r="E14" s="1" t="n">
        <f aca="false">D14*C14</f>
        <v>104.5</v>
      </c>
      <c r="F14" s="3" t="n">
        <v>-1.95498152</v>
      </c>
      <c r="G14" s="4" t="n">
        <v>18.7079571291866</v>
      </c>
    </row>
    <row r="15" customFormat="false" ht="13.8" hidden="false" customHeight="false" outlineLevel="0" collapsed="false">
      <c r="A15" s="1" t="n">
        <v>1152</v>
      </c>
      <c r="B15" s="2" t="n">
        <v>2448.76</v>
      </c>
      <c r="C15" s="1" t="n">
        <v>10.2</v>
      </c>
      <c r="D15" s="1" t="n">
        <v>10</v>
      </c>
      <c r="E15" s="1" t="n">
        <f aca="false">D15*C15</f>
        <v>102</v>
      </c>
      <c r="F15" s="3" t="n">
        <v>-1.927766</v>
      </c>
      <c r="G15" s="4" t="n">
        <v>18.8996666666667</v>
      </c>
    </row>
    <row r="16" customFormat="false" ht="13.8" hidden="false" customHeight="false" outlineLevel="0" collapsed="false">
      <c r="A16" s="1" t="n">
        <v>1156</v>
      </c>
      <c r="B16" s="2" t="n">
        <v>2435.76</v>
      </c>
      <c r="C16" s="1" t="n">
        <v>9.9</v>
      </c>
      <c r="D16" s="1" t="n">
        <v>10</v>
      </c>
      <c r="E16" s="1" t="n">
        <f aca="false">D16*C16</f>
        <v>99</v>
      </c>
      <c r="F16" s="3" t="n">
        <v>-1.89147864</v>
      </c>
      <c r="G16" s="4" t="n">
        <v>19.1058448484848</v>
      </c>
    </row>
    <row r="17" customFormat="false" ht="13.8" hidden="false" customHeight="false" outlineLevel="0" collapsed="false">
      <c r="A17" s="1" t="n">
        <v>1160</v>
      </c>
      <c r="B17" s="2" t="n">
        <v>2416.26</v>
      </c>
      <c r="C17" s="1" t="n">
        <v>9.56</v>
      </c>
      <c r="D17" s="1" t="n">
        <v>10</v>
      </c>
      <c r="E17" s="1" t="n">
        <f aca="false">D17*C17</f>
        <v>95.6</v>
      </c>
      <c r="F17" s="3" t="n">
        <v>-1.8370476</v>
      </c>
      <c r="G17" s="4" t="n">
        <v>19.2159790794979</v>
      </c>
    </row>
    <row r="18" customFormat="false" ht="13.8" hidden="false" customHeight="false" outlineLevel="0" collapsed="false">
      <c r="A18" s="1" t="n">
        <v>1164</v>
      </c>
      <c r="B18" s="2" t="n">
        <v>2395.29</v>
      </c>
      <c r="C18" s="1" t="n">
        <v>9.29</v>
      </c>
      <c r="D18" s="1" t="n">
        <v>10</v>
      </c>
      <c r="E18" s="1" t="n">
        <f aca="false">D18*C18</f>
        <v>92.9</v>
      </c>
      <c r="F18" s="3" t="n">
        <v>-1.80983208</v>
      </c>
      <c r="G18" s="4" t="n">
        <v>19.4815078579117</v>
      </c>
    </row>
    <row r="19" customFormat="false" ht="13.8" hidden="false" customHeight="false" outlineLevel="0" collapsed="false">
      <c r="A19" s="1" t="n">
        <v>1168</v>
      </c>
      <c r="B19" s="2" t="n">
        <v>2370.82</v>
      </c>
      <c r="C19" s="1" t="n">
        <v>9.1</v>
      </c>
      <c r="D19" s="1" t="n">
        <v>10</v>
      </c>
      <c r="E19" s="1" t="n">
        <f aca="false">D19*C19</f>
        <v>91</v>
      </c>
      <c r="F19" s="3" t="n">
        <v>-1.7916884</v>
      </c>
      <c r="G19" s="4" t="n">
        <v>19.6888835164835</v>
      </c>
    </row>
    <row r="20" customFormat="false" ht="13.8" hidden="false" customHeight="false" outlineLevel="0" collapsed="false">
      <c r="A20" s="1" t="n">
        <v>1172</v>
      </c>
      <c r="B20" s="2" t="n">
        <v>2344.27</v>
      </c>
      <c r="C20" s="1" t="n">
        <v>8.8</v>
      </c>
      <c r="D20" s="1" t="n">
        <v>10</v>
      </c>
      <c r="E20" s="1" t="n">
        <f aca="false">D20*C20</f>
        <v>88</v>
      </c>
      <c r="F20" s="3" t="n">
        <v>-1.75540104</v>
      </c>
      <c r="G20" s="4" t="n">
        <v>19.9477390909091</v>
      </c>
    </row>
    <row r="21" customFormat="false" ht="13.8" hidden="false" customHeight="false" outlineLevel="0" collapsed="false">
      <c r="A21" s="1" t="n">
        <v>1176</v>
      </c>
      <c r="B21" s="2" t="n">
        <v>2332.12</v>
      </c>
      <c r="C21" s="1" t="n">
        <v>8.5</v>
      </c>
      <c r="D21" s="1" t="n">
        <v>10</v>
      </c>
      <c r="E21" s="1" t="n">
        <f aca="false">D21*C21</f>
        <v>85</v>
      </c>
      <c r="F21" s="3" t="n">
        <v>-1.71457776</v>
      </c>
      <c r="G21" s="4" t="n">
        <v>20.1715030588235</v>
      </c>
    </row>
    <row r="22" customFormat="false" ht="13.8" hidden="false" customHeight="false" outlineLevel="0" collapsed="false">
      <c r="A22" s="1" t="n">
        <v>1180</v>
      </c>
      <c r="B22" s="2" t="n">
        <v>2305.96</v>
      </c>
      <c r="C22" s="1" t="n">
        <v>8.3</v>
      </c>
      <c r="D22" s="1" t="n">
        <v>10</v>
      </c>
      <c r="E22" s="1" t="n">
        <f aca="false">D22*C22</f>
        <v>83</v>
      </c>
      <c r="F22" s="3" t="n">
        <v>-1.68282632</v>
      </c>
      <c r="G22" s="4" t="n">
        <v>20.2750159036145</v>
      </c>
    </row>
    <row r="23" customFormat="false" ht="13.8" hidden="false" customHeight="false" outlineLevel="0" collapsed="false">
      <c r="A23" s="1" t="n">
        <v>1184</v>
      </c>
      <c r="B23" s="2" t="n">
        <v>2282.55</v>
      </c>
      <c r="C23" s="1" t="n">
        <v>8.05</v>
      </c>
      <c r="D23" s="1" t="n">
        <v>10</v>
      </c>
      <c r="E23" s="1" t="n">
        <f aca="false">D23*C23</f>
        <v>80.5</v>
      </c>
      <c r="F23" s="3" t="n">
        <v>-1.65107488</v>
      </c>
      <c r="G23" s="4" t="n">
        <v>20.5102469565217</v>
      </c>
    </row>
    <row r="24" customFormat="false" ht="13.8" hidden="false" customHeight="false" outlineLevel="0" collapsed="false">
      <c r="A24" s="1" t="n">
        <v>1188</v>
      </c>
      <c r="B24" s="2" t="n">
        <v>2271.04</v>
      </c>
      <c r="C24" s="1" t="n">
        <v>7.71</v>
      </c>
      <c r="D24" s="1" t="n">
        <v>10</v>
      </c>
      <c r="E24" s="1" t="n">
        <f aca="false">D24*C24</f>
        <v>77.1</v>
      </c>
      <c r="F24" s="3" t="n">
        <v>-1.61932344</v>
      </c>
      <c r="G24" s="4" t="n">
        <v>21.0028980544747</v>
      </c>
    </row>
    <row r="25" customFormat="false" ht="13.8" hidden="false" customHeight="false" outlineLevel="0" collapsed="false">
      <c r="A25" s="1" t="n">
        <v>1192</v>
      </c>
      <c r="B25" s="2" t="n">
        <v>2241.4</v>
      </c>
      <c r="C25" s="1" t="n">
        <v>7.57</v>
      </c>
      <c r="D25" s="1" t="n">
        <v>10</v>
      </c>
      <c r="E25" s="1" t="n">
        <f aca="false">D25*C25</f>
        <v>75.7</v>
      </c>
      <c r="F25" s="3" t="n">
        <v>-1.59210792</v>
      </c>
      <c r="G25" s="4" t="n">
        <v>21.0318087186262</v>
      </c>
    </row>
    <row r="26" customFormat="false" ht="13.8" hidden="false" customHeight="false" outlineLevel="0" collapsed="false">
      <c r="A26" s="1" t="n">
        <v>1196</v>
      </c>
      <c r="B26" s="2" t="n">
        <v>2219.44</v>
      </c>
      <c r="C26" s="1" t="n">
        <v>7.3</v>
      </c>
      <c r="D26" s="1" t="n">
        <v>10</v>
      </c>
      <c r="E26" s="1" t="n">
        <f aca="false">D26*C26</f>
        <v>73</v>
      </c>
      <c r="F26" s="3" t="n">
        <v>-1.55582056</v>
      </c>
      <c r="G26" s="4" t="n">
        <v>21.3126104109589</v>
      </c>
    </row>
    <row r="27" customFormat="false" ht="13.8" hidden="false" customHeight="false" outlineLevel="0" collapsed="false">
      <c r="A27" s="1" t="n">
        <v>1200</v>
      </c>
      <c r="B27" s="2" t="n">
        <v>2198.37</v>
      </c>
      <c r="C27" s="1" t="n">
        <v>7.1</v>
      </c>
      <c r="D27" s="1" t="n">
        <v>10</v>
      </c>
      <c r="E27" s="1" t="n">
        <f aca="false">D27*C27</f>
        <v>71</v>
      </c>
      <c r="F27" s="3" t="n">
        <v>-1.53767688</v>
      </c>
      <c r="G27" s="4" t="n">
        <v>21.6574208450704</v>
      </c>
    </row>
    <row r="28" customFormat="false" ht="13.8" hidden="false" customHeight="false" outlineLevel="0" collapsed="false">
      <c r="A28" s="1" t="n">
        <v>1204</v>
      </c>
      <c r="B28" s="2" t="n">
        <v>2176.57</v>
      </c>
      <c r="C28" s="1" t="n">
        <v>6.82</v>
      </c>
      <c r="D28" s="1" t="n">
        <v>10</v>
      </c>
      <c r="E28" s="1" t="n">
        <f aca="false">D28*C28</f>
        <v>68.2</v>
      </c>
      <c r="F28" s="3" t="n">
        <v>-1.50138952</v>
      </c>
      <c r="G28" s="4" t="n">
        <v>22.0145090909091</v>
      </c>
    </row>
    <row r="29" customFormat="false" ht="13.8" hidden="false" customHeight="false" outlineLevel="0" collapsed="false">
      <c r="A29" s="1" t="n">
        <v>1208</v>
      </c>
      <c r="B29" s="2" t="n">
        <v>2156.65</v>
      </c>
      <c r="C29" s="1" t="n">
        <v>6.6</v>
      </c>
      <c r="D29" s="1" t="n">
        <v>10</v>
      </c>
      <c r="E29" s="1" t="n">
        <f aca="false">D29*C29</f>
        <v>66</v>
      </c>
      <c r="F29" s="3" t="n">
        <v>-1.46963808</v>
      </c>
      <c r="G29" s="4" t="n">
        <v>22.2672436363636</v>
      </c>
    </row>
    <row r="30" customFormat="false" ht="13.8" hidden="false" customHeight="false" outlineLevel="0" collapsed="false">
      <c r="A30" s="1" t="n">
        <v>1212</v>
      </c>
      <c r="B30" s="2" t="n">
        <v>2128.5</v>
      </c>
      <c r="C30" s="1" t="n">
        <v>6.48</v>
      </c>
      <c r="D30" s="1" t="n">
        <v>10</v>
      </c>
      <c r="E30" s="1" t="n">
        <f aca="false">D30*C30</f>
        <v>64.8</v>
      </c>
      <c r="F30" s="3" t="n">
        <v>-1.44242256</v>
      </c>
      <c r="G30" s="4" t="n">
        <v>22.2596074074074</v>
      </c>
    </row>
    <row r="31" customFormat="false" ht="13.8" hidden="false" customHeight="false" outlineLevel="0" collapsed="false">
      <c r="A31" s="1" t="n">
        <v>1216</v>
      </c>
      <c r="B31" s="2" t="n">
        <v>2106.08</v>
      </c>
      <c r="C31" s="1" t="n">
        <v>6.2</v>
      </c>
      <c r="D31" s="1" t="n">
        <v>10</v>
      </c>
      <c r="E31" s="1" t="n">
        <f aca="false">D31*C31</f>
        <v>62</v>
      </c>
      <c r="F31" s="3" t="n">
        <v>-1.41067112</v>
      </c>
      <c r="G31" s="4" t="n">
        <v>22.75276</v>
      </c>
    </row>
    <row r="32" customFormat="false" ht="13.8" hidden="false" customHeight="false" outlineLevel="0" collapsed="false">
      <c r="A32" s="1" t="n">
        <v>1220</v>
      </c>
      <c r="B32" s="2" t="n">
        <v>2093.85</v>
      </c>
      <c r="C32" s="1" t="n">
        <v>6</v>
      </c>
      <c r="D32" s="1" t="n">
        <v>10</v>
      </c>
      <c r="E32" s="1" t="n">
        <f aca="false">D32*C32</f>
        <v>60</v>
      </c>
      <c r="F32" s="3" t="n">
        <v>-1.360776</v>
      </c>
      <c r="G32" s="4" t="n">
        <v>22.6796</v>
      </c>
    </row>
    <row r="33" customFormat="false" ht="13.8" hidden="false" customHeight="false" outlineLevel="0" collapsed="false">
      <c r="A33" s="1" t="n">
        <v>1224</v>
      </c>
      <c r="B33" s="2" t="n">
        <v>2072.61</v>
      </c>
      <c r="C33" s="1" t="n">
        <v>5.8</v>
      </c>
      <c r="D33" s="1" t="n">
        <v>10</v>
      </c>
      <c r="E33" s="1" t="n">
        <f aca="false">D33*C33</f>
        <v>58</v>
      </c>
      <c r="F33" s="3" t="n">
        <v>-1.32902456</v>
      </c>
      <c r="G33" s="4" t="n">
        <v>22.9142165517241</v>
      </c>
    </row>
    <row r="34" customFormat="false" ht="13.8" hidden="false" customHeight="false" outlineLevel="0" collapsed="false">
      <c r="A34" s="1" t="n">
        <v>1228</v>
      </c>
      <c r="B34" s="2" t="n">
        <v>2045.76</v>
      </c>
      <c r="C34" s="1" t="n">
        <v>5.6</v>
      </c>
      <c r="D34" s="1" t="n">
        <v>10</v>
      </c>
      <c r="E34" s="1" t="n">
        <f aca="false">D34*C34</f>
        <v>56</v>
      </c>
      <c r="F34" s="3" t="n">
        <v>-1.31995272</v>
      </c>
      <c r="G34" s="4" t="n">
        <v>23.5705842857143</v>
      </c>
    </row>
    <row r="35" customFormat="false" ht="13.8" hidden="false" customHeight="false" outlineLevel="0" collapsed="false">
      <c r="A35" s="1" t="n">
        <v>1232</v>
      </c>
      <c r="B35" s="2" t="n">
        <v>2023.95</v>
      </c>
      <c r="C35" s="1" t="n">
        <v>5.4</v>
      </c>
      <c r="D35" s="1" t="n">
        <v>10</v>
      </c>
      <c r="E35" s="1" t="n">
        <f aca="false">D35*C35</f>
        <v>54</v>
      </c>
      <c r="F35" s="3" t="n">
        <v>-1.28820128</v>
      </c>
      <c r="G35" s="4" t="n">
        <v>23.8555792592593</v>
      </c>
    </row>
    <row r="36" customFormat="false" ht="13.8" hidden="false" customHeight="false" outlineLevel="0" collapsed="false">
      <c r="A36" s="1" t="n">
        <v>1236</v>
      </c>
      <c r="B36" s="2" t="n">
        <v>2005.05</v>
      </c>
      <c r="C36" s="1" t="n">
        <v>5.2</v>
      </c>
      <c r="D36" s="1" t="n">
        <v>10</v>
      </c>
      <c r="E36" s="1" t="n">
        <f aca="false">D36*C36</f>
        <v>52</v>
      </c>
      <c r="F36" s="3" t="n">
        <v>-1.25644984</v>
      </c>
      <c r="G36" s="4" t="n">
        <v>24.1624969230769</v>
      </c>
    </row>
    <row r="37" customFormat="false" ht="13.8" hidden="false" customHeight="false" outlineLevel="0" collapsed="false">
      <c r="A37" s="1" t="n">
        <v>1240</v>
      </c>
      <c r="B37" s="2" t="n">
        <v>1982.4</v>
      </c>
      <c r="C37" s="1" t="n">
        <v>5</v>
      </c>
      <c r="D37" s="1" t="n">
        <v>10</v>
      </c>
      <c r="E37" s="1" t="n">
        <f aca="false">D37*C37</f>
        <v>50</v>
      </c>
      <c r="F37" s="3" t="n">
        <v>-1.22016248</v>
      </c>
      <c r="G37" s="4" t="n">
        <v>24.4032496</v>
      </c>
    </row>
    <row r="38" customFormat="false" ht="13.8" hidden="false" customHeight="false" outlineLevel="0" collapsed="false">
      <c r="A38" s="1" t="n">
        <v>1244</v>
      </c>
      <c r="B38" s="2" t="n">
        <v>1956.82</v>
      </c>
      <c r="C38" s="1" t="n">
        <v>4.84</v>
      </c>
      <c r="D38" s="1" t="n">
        <v>10</v>
      </c>
      <c r="E38" s="1" t="n">
        <f aca="false">D38*C38</f>
        <v>48.4</v>
      </c>
      <c r="F38" s="3" t="n">
        <v>-1.18841104</v>
      </c>
      <c r="G38" s="4" t="n">
        <v>24.553947107438</v>
      </c>
    </row>
    <row r="39" customFormat="false" ht="13.8" hidden="false" customHeight="false" outlineLevel="0" collapsed="false">
      <c r="A39" s="1" t="n">
        <v>1248</v>
      </c>
      <c r="B39" s="2" t="n">
        <v>1936.33</v>
      </c>
      <c r="C39" s="1" t="n">
        <v>4.64</v>
      </c>
      <c r="D39" s="1" t="n">
        <v>10</v>
      </c>
      <c r="E39" s="1" t="n">
        <f aca="false">D39*C39</f>
        <v>46.4</v>
      </c>
      <c r="F39" s="3" t="n">
        <v>-1.16573144</v>
      </c>
      <c r="G39" s="4" t="n">
        <v>25.1235224137931</v>
      </c>
    </row>
    <row r="40" customFormat="false" ht="13.8" hidden="false" customHeight="false" outlineLevel="0" collapsed="false">
      <c r="A40" s="1" t="n">
        <v>1252</v>
      </c>
      <c r="B40" s="2" t="n">
        <v>1906.73</v>
      </c>
      <c r="C40" s="1" t="n">
        <v>4.5</v>
      </c>
      <c r="D40" s="1" t="n">
        <v>10</v>
      </c>
      <c r="E40" s="1" t="n">
        <f aca="false">D40*C40</f>
        <v>45</v>
      </c>
      <c r="F40" s="3" t="n">
        <v>-1.13851592</v>
      </c>
      <c r="G40" s="4" t="n">
        <v>25.3003537777778</v>
      </c>
    </row>
    <row r="41" customFormat="false" ht="13.8" hidden="false" customHeight="false" outlineLevel="0" collapsed="false">
      <c r="A41" s="1" t="n">
        <v>1256</v>
      </c>
      <c r="B41" s="2" t="n">
        <v>1884.84</v>
      </c>
      <c r="C41" s="1" t="n">
        <v>4.3</v>
      </c>
      <c r="D41" s="1" t="n">
        <v>10</v>
      </c>
      <c r="E41" s="1" t="n">
        <f aca="false">D41*C41</f>
        <v>43</v>
      </c>
      <c r="F41" s="3" t="n">
        <v>-1.09769264</v>
      </c>
      <c r="G41" s="4" t="n">
        <v>25.5277358139535</v>
      </c>
    </row>
    <row r="42" customFormat="false" ht="13.8" hidden="false" customHeight="false" outlineLevel="0" collapsed="false">
      <c r="A42" s="1" t="n">
        <v>1260</v>
      </c>
      <c r="B42" s="2" t="n">
        <v>1863.52</v>
      </c>
      <c r="C42" s="1" t="n">
        <v>4.1</v>
      </c>
      <c r="D42" s="1" t="n">
        <v>10</v>
      </c>
      <c r="E42" s="1" t="n">
        <f aca="false">D42*C42</f>
        <v>41</v>
      </c>
      <c r="F42" s="3" t="n">
        <v>-1.07501304</v>
      </c>
      <c r="G42" s="4" t="n">
        <v>26.2198302439024</v>
      </c>
    </row>
    <row r="43" customFormat="false" ht="13.8" hidden="false" customHeight="false" outlineLevel="0" collapsed="false">
      <c r="A43" s="1" t="n">
        <v>1264</v>
      </c>
      <c r="B43" s="2" t="n">
        <v>1833.91</v>
      </c>
      <c r="C43" s="1" t="n">
        <v>3.9</v>
      </c>
      <c r="D43" s="1" t="n">
        <v>10</v>
      </c>
      <c r="E43" s="1" t="n">
        <f aca="false">D43*C43</f>
        <v>39</v>
      </c>
      <c r="F43" s="3" t="n">
        <v>-1.05686936</v>
      </c>
      <c r="G43" s="4" t="n">
        <v>27.0992143589744</v>
      </c>
    </row>
    <row r="44" customFormat="false" ht="13.8" hidden="false" customHeight="false" outlineLevel="0" collapsed="false">
      <c r="A44" s="1" t="n">
        <v>1268</v>
      </c>
      <c r="B44" s="2" t="n">
        <v>1816.36</v>
      </c>
      <c r="C44" s="1" t="n">
        <v>3.73</v>
      </c>
      <c r="D44" s="1" t="n">
        <v>10</v>
      </c>
      <c r="E44" s="1" t="n">
        <f aca="false">D44*C44</f>
        <v>37.3</v>
      </c>
      <c r="F44" s="3" t="n">
        <v>-1.01604608</v>
      </c>
      <c r="G44" s="4" t="n">
        <v>27.2398412868633</v>
      </c>
    </row>
    <row r="45" customFormat="false" ht="13.8" hidden="false" customHeight="false" outlineLevel="0" collapsed="false">
      <c r="A45" s="1" t="n">
        <v>1272</v>
      </c>
      <c r="B45" s="2" t="n">
        <v>1788.63</v>
      </c>
      <c r="C45" s="1" t="n">
        <v>3.6</v>
      </c>
      <c r="D45" s="1" t="n">
        <v>10</v>
      </c>
      <c r="E45" s="1" t="n">
        <f aca="false">D45*C45</f>
        <v>36</v>
      </c>
      <c r="F45" s="3" t="n">
        <v>-0.98883056</v>
      </c>
      <c r="G45" s="4" t="n">
        <v>27.4675155555556</v>
      </c>
    </row>
    <row r="46" customFormat="false" ht="13.8" hidden="false" customHeight="false" outlineLevel="0" collapsed="false">
      <c r="A46" s="1" t="n">
        <v>1276</v>
      </c>
      <c r="B46" s="2" t="n">
        <v>1762.3</v>
      </c>
      <c r="C46" s="1" t="n">
        <v>3.5</v>
      </c>
      <c r="D46" s="1" t="n">
        <v>10</v>
      </c>
      <c r="E46" s="1" t="n">
        <f aca="false">D46*C46</f>
        <v>35</v>
      </c>
      <c r="F46" s="3" t="n">
        <v>-0.97068688</v>
      </c>
      <c r="G46" s="4" t="n">
        <v>27.7339108571429</v>
      </c>
    </row>
    <row r="47" customFormat="false" ht="13.8" hidden="false" customHeight="false" outlineLevel="0" collapsed="false">
      <c r="A47" s="1" t="n">
        <v>1280</v>
      </c>
      <c r="B47" s="2" t="n">
        <v>1745.28</v>
      </c>
      <c r="C47" s="1" t="n">
        <v>3.3</v>
      </c>
      <c r="D47" s="1" t="n">
        <v>10</v>
      </c>
      <c r="E47" s="1" t="n">
        <f aca="false">D47*C47</f>
        <v>33</v>
      </c>
      <c r="F47" s="3" t="n">
        <v>-0.9298636</v>
      </c>
      <c r="G47" s="4" t="n">
        <v>28.1776848484848</v>
      </c>
    </row>
    <row r="48" customFormat="false" ht="13.8" hidden="false" customHeight="false" outlineLevel="0" collapsed="false">
      <c r="A48" s="1" t="n">
        <v>1284</v>
      </c>
      <c r="B48" s="2" t="n">
        <v>1716.98</v>
      </c>
      <c r="C48" s="1" t="n">
        <v>3.2</v>
      </c>
      <c r="D48" s="1" t="n">
        <v>10</v>
      </c>
      <c r="E48" s="1" t="n">
        <f aca="false">D48*C48</f>
        <v>32</v>
      </c>
      <c r="F48" s="3" t="n">
        <v>-0.907184</v>
      </c>
      <c r="G48" s="4" t="n">
        <v>28.3495</v>
      </c>
    </row>
    <row r="49" customFormat="false" ht="13.8" hidden="false" customHeight="false" outlineLevel="0" collapsed="false">
      <c r="A49" s="1" t="n">
        <v>1288</v>
      </c>
      <c r="B49" s="2" t="n">
        <v>1696.78</v>
      </c>
      <c r="C49" s="1" t="n">
        <v>3</v>
      </c>
      <c r="D49" s="1" t="n">
        <v>10</v>
      </c>
      <c r="E49" s="1" t="n">
        <f aca="false">D49*C49</f>
        <v>30</v>
      </c>
      <c r="F49" s="3" t="n">
        <v>-0.87996848</v>
      </c>
      <c r="G49" s="4" t="n">
        <v>29.3322826666667</v>
      </c>
    </row>
    <row r="50" customFormat="false" ht="13.8" hidden="false" customHeight="false" outlineLevel="0" collapsed="false">
      <c r="A50" s="1" t="n">
        <v>1292</v>
      </c>
      <c r="B50" s="2" t="n">
        <v>1670.82</v>
      </c>
      <c r="C50" s="1" t="n">
        <v>2.9</v>
      </c>
      <c r="D50" s="1" t="n">
        <v>10</v>
      </c>
      <c r="E50" s="1" t="n">
        <f aca="false">D50*C50</f>
        <v>29</v>
      </c>
      <c r="F50" s="3" t="n">
        <v>-0.85275296</v>
      </c>
      <c r="G50" s="4" t="n">
        <v>29.4052744827586</v>
      </c>
    </row>
    <row r="51" customFormat="false" ht="13.8" hidden="false" customHeight="false" outlineLevel="0" collapsed="false">
      <c r="A51" s="1" t="n">
        <v>1296</v>
      </c>
      <c r="B51" s="2" t="n">
        <v>1643.14</v>
      </c>
      <c r="C51" s="1" t="n">
        <v>2.8</v>
      </c>
      <c r="D51" s="1" t="n">
        <v>10</v>
      </c>
      <c r="E51" s="1" t="n">
        <f aca="false">D51*C51</f>
        <v>28</v>
      </c>
      <c r="F51" s="3" t="n">
        <v>-0.82553744</v>
      </c>
      <c r="G51" s="4" t="n">
        <v>29.48348</v>
      </c>
    </row>
    <row r="52" customFormat="false" ht="13.8" hidden="false" customHeight="false" outlineLevel="0" collapsed="false">
      <c r="A52" s="1" t="n">
        <v>1300</v>
      </c>
      <c r="B52" s="2" t="n">
        <v>1615.06</v>
      </c>
      <c r="C52" s="1" t="n">
        <v>2.6</v>
      </c>
      <c r="D52" s="1" t="n">
        <v>10</v>
      </c>
      <c r="E52" s="1" t="n">
        <f aca="false">D52*C52</f>
        <v>26</v>
      </c>
      <c r="F52" s="3" t="n">
        <v>-0.79832192</v>
      </c>
      <c r="G52" s="4" t="n">
        <v>30.7046892307692</v>
      </c>
    </row>
    <row r="53" customFormat="false" ht="13.8" hidden="false" customHeight="false" outlineLevel="0" collapsed="false">
      <c r="A53" s="1" t="n">
        <v>1304</v>
      </c>
      <c r="B53" s="2" t="n">
        <v>1591.35</v>
      </c>
      <c r="C53" s="1" t="n">
        <v>2.4</v>
      </c>
      <c r="D53" s="1" t="n">
        <v>10</v>
      </c>
      <c r="E53" s="1" t="n">
        <f aca="false">D53*C53</f>
        <v>24</v>
      </c>
      <c r="F53" s="3" t="n">
        <v>-0.78017824</v>
      </c>
      <c r="G53" s="4" t="n">
        <v>32.5074266666667</v>
      </c>
    </row>
    <row r="54" customFormat="false" ht="13.8" hidden="false" customHeight="false" outlineLevel="0" collapsed="false">
      <c r="A54" s="1" t="n">
        <v>1308</v>
      </c>
      <c r="B54" s="2" t="n">
        <v>1562.13</v>
      </c>
      <c r="C54" s="1" t="n">
        <v>2.3</v>
      </c>
      <c r="D54" s="1" t="n">
        <v>10</v>
      </c>
      <c r="E54" s="1" t="n">
        <f aca="false">D54*C54</f>
        <v>23</v>
      </c>
      <c r="F54" s="3" t="n">
        <v>-0.75296272</v>
      </c>
      <c r="G54" s="4" t="n">
        <v>32.7375095652174</v>
      </c>
    </row>
    <row r="55" customFormat="false" ht="13.8" hidden="false" customHeight="false" outlineLevel="0" collapsed="false">
      <c r="A55" s="1" t="n">
        <v>1312</v>
      </c>
      <c r="B55" s="2" t="n">
        <v>1539</v>
      </c>
      <c r="C55" s="1" t="n">
        <v>2.1</v>
      </c>
      <c r="D55" s="1" t="n">
        <v>10</v>
      </c>
      <c r="E55" s="1" t="n">
        <f aca="false">D55*C55</f>
        <v>21</v>
      </c>
      <c r="F55" s="3" t="n">
        <v>-0.72121128</v>
      </c>
      <c r="G55" s="4" t="n">
        <v>34.3433942857143</v>
      </c>
    </row>
    <row r="56" customFormat="false" ht="13.8" hidden="false" customHeight="false" outlineLevel="0" collapsed="false">
      <c r="A56" s="1" t="n">
        <v>1316</v>
      </c>
      <c r="B56" s="2" t="n">
        <v>1515.73</v>
      </c>
      <c r="C56" s="1" t="n">
        <v>2</v>
      </c>
      <c r="D56" s="1" t="n">
        <v>10</v>
      </c>
      <c r="E56" s="1" t="n">
        <f aca="false">D56*C56</f>
        <v>20</v>
      </c>
      <c r="F56" s="3" t="n">
        <v>-0.69853168</v>
      </c>
      <c r="G56" s="4" t="n">
        <v>34.926584</v>
      </c>
    </row>
    <row r="57" customFormat="false" ht="13.8" hidden="false" customHeight="false" outlineLevel="0" collapsed="false">
      <c r="A57" s="1" t="n">
        <v>1320</v>
      </c>
      <c r="B57" s="2" t="n">
        <v>1487.76</v>
      </c>
      <c r="C57" s="1" t="n">
        <v>1.9</v>
      </c>
      <c r="D57" s="1" t="n">
        <v>10</v>
      </c>
      <c r="E57" s="1" t="n">
        <f aca="false">D57*C57</f>
        <v>19</v>
      </c>
      <c r="F57" s="3" t="n">
        <v>-0.67131616</v>
      </c>
      <c r="G57" s="4" t="n">
        <v>35.3324294736842</v>
      </c>
    </row>
    <row r="58" customFormat="false" ht="13.8" hidden="false" customHeight="false" outlineLevel="0" collapsed="false">
      <c r="A58" s="1" t="n">
        <v>1324</v>
      </c>
      <c r="B58" s="2" t="n">
        <v>1460.76</v>
      </c>
      <c r="C58" s="1" t="n">
        <v>1.8</v>
      </c>
      <c r="D58" s="1" t="n">
        <v>10</v>
      </c>
      <c r="E58" s="1" t="n">
        <f aca="false">D58*C58</f>
        <v>18</v>
      </c>
      <c r="F58" s="3" t="n">
        <v>-0.65317248</v>
      </c>
      <c r="G58" s="4" t="n">
        <v>36.28736</v>
      </c>
    </row>
    <row r="59" customFormat="false" ht="13.8" hidden="false" customHeight="false" outlineLevel="0" collapsed="false">
      <c r="A59" s="1" t="n">
        <v>1328</v>
      </c>
      <c r="B59" s="2" t="n">
        <v>1439.6</v>
      </c>
      <c r="C59" s="1" t="n">
        <v>1.7</v>
      </c>
      <c r="D59" s="1" t="n">
        <v>10</v>
      </c>
      <c r="E59" s="1" t="n">
        <f aca="false">D59*C59</f>
        <v>17</v>
      </c>
      <c r="F59" s="3" t="n">
        <v>-0.63049288</v>
      </c>
      <c r="G59" s="4" t="n">
        <v>37.0878164705882</v>
      </c>
    </row>
    <row r="60" customFormat="false" ht="13.8" hidden="false" customHeight="false" outlineLevel="0" collapsed="false">
      <c r="A60" s="1" t="n">
        <v>1332</v>
      </c>
      <c r="B60" s="2" t="n">
        <v>1411.47</v>
      </c>
      <c r="C60" s="1" t="n">
        <v>1.6</v>
      </c>
      <c r="D60" s="1" t="n">
        <v>10</v>
      </c>
      <c r="E60" s="1" t="n">
        <f aca="false">D60*C60</f>
        <v>16</v>
      </c>
      <c r="F60" s="3" t="n">
        <v>-0.6123492</v>
      </c>
      <c r="G60" s="4" t="n">
        <v>38.271825</v>
      </c>
    </row>
    <row r="61" customFormat="false" ht="13.8" hidden="false" customHeight="false" outlineLevel="0" collapsed="false">
      <c r="A61" s="1" t="n">
        <v>1336</v>
      </c>
      <c r="B61" s="2" t="n">
        <v>1382.01</v>
      </c>
      <c r="C61" s="1" t="n">
        <v>1.5</v>
      </c>
      <c r="D61" s="1" t="n">
        <v>10</v>
      </c>
      <c r="E61" s="1" t="n">
        <f aca="false">D61*C61</f>
        <v>15</v>
      </c>
      <c r="F61" s="3" t="n">
        <v>-0.58059776</v>
      </c>
      <c r="G61" s="4" t="n">
        <v>38.7065173333333</v>
      </c>
    </row>
    <row r="62" customFormat="false" ht="13.8" hidden="false" customHeight="false" outlineLevel="0" collapsed="false">
      <c r="A62" s="1" t="n">
        <v>1340</v>
      </c>
      <c r="B62" s="2" t="n">
        <v>1347.15</v>
      </c>
      <c r="C62" s="1" t="n">
        <v>1.4</v>
      </c>
      <c r="D62" s="1" t="n">
        <v>10</v>
      </c>
      <c r="E62" s="1" t="n">
        <f aca="false">D62*C62</f>
        <v>14</v>
      </c>
      <c r="F62" s="3" t="n">
        <v>-0.55338224</v>
      </c>
      <c r="G62" s="4" t="n">
        <v>39.5273028571429</v>
      </c>
    </row>
    <row r="63" customFormat="false" ht="13.8" hidden="false" customHeight="false" outlineLevel="0" collapsed="false">
      <c r="A63" s="1" t="n">
        <v>1344</v>
      </c>
      <c r="B63" s="2" t="n">
        <v>1320.39</v>
      </c>
      <c r="C63" s="1" t="n">
        <v>1.3</v>
      </c>
      <c r="D63" s="1" t="n">
        <v>10</v>
      </c>
      <c r="E63" s="1" t="n">
        <f aca="false">D63*C63</f>
        <v>13</v>
      </c>
      <c r="F63" s="3" t="n">
        <v>-0.53070264</v>
      </c>
      <c r="G63" s="4" t="n">
        <v>40.82328</v>
      </c>
    </row>
    <row r="64" customFormat="false" ht="13.8" hidden="false" customHeight="false" outlineLevel="0" collapsed="false">
      <c r="A64" s="1" t="n">
        <v>1348</v>
      </c>
      <c r="B64" s="2" t="n">
        <v>1293.77</v>
      </c>
      <c r="C64" s="1" t="n">
        <v>1.2</v>
      </c>
      <c r="D64" s="1" t="n">
        <v>10</v>
      </c>
      <c r="E64" s="1" t="n">
        <f aca="false">D64*C64</f>
        <v>12</v>
      </c>
      <c r="F64" s="3" t="n">
        <v>-0.51255896</v>
      </c>
      <c r="G64" s="4" t="n">
        <v>42.7132466666667</v>
      </c>
    </row>
    <row r="65" customFormat="false" ht="13.8" hidden="false" customHeight="false" outlineLevel="0" collapsed="false">
      <c r="A65" s="1" t="n">
        <v>1352</v>
      </c>
      <c r="B65" s="2" t="n">
        <v>1264.77</v>
      </c>
      <c r="C65" s="1" t="n">
        <v>1.2</v>
      </c>
      <c r="D65" s="1" t="n">
        <v>10</v>
      </c>
      <c r="E65" s="1" t="n">
        <f aca="false">D65*C65</f>
        <v>12</v>
      </c>
      <c r="F65" s="3" t="n">
        <v>-0.48534344</v>
      </c>
      <c r="G65" s="4" t="n">
        <v>40.4452866666667</v>
      </c>
    </row>
    <row r="66" customFormat="false" ht="13.8" hidden="false" customHeight="false" outlineLevel="0" collapsed="false">
      <c r="A66" s="1" t="n">
        <v>1356</v>
      </c>
      <c r="B66" s="2" t="n">
        <v>1239.06</v>
      </c>
      <c r="C66" s="1" t="n">
        <v>1.1</v>
      </c>
      <c r="D66" s="1" t="n">
        <v>10</v>
      </c>
      <c r="E66" s="1" t="n">
        <f aca="false">D66*C66</f>
        <v>11</v>
      </c>
      <c r="F66" s="3" t="n">
        <v>-0.46719976</v>
      </c>
      <c r="G66" s="4" t="n">
        <v>42.4727054545455</v>
      </c>
    </row>
    <row r="67" customFormat="false" ht="13.8" hidden="false" customHeight="false" outlineLevel="0" collapsed="false">
      <c r="A67" s="1" t="n">
        <v>1360</v>
      </c>
      <c r="B67" s="2" t="n">
        <v>1199.94</v>
      </c>
      <c r="C67" s="1" t="n">
        <v>1</v>
      </c>
      <c r="D67" s="1" t="n">
        <v>10</v>
      </c>
      <c r="E67" s="1" t="n">
        <f aca="false">D67*C67</f>
        <v>10</v>
      </c>
      <c r="F67" s="3" t="n">
        <v>-0.44452016</v>
      </c>
      <c r="G67" s="4" t="n">
        <v>44.452016</v>
      </c>
    </row>
    <row r="68" customFormat="false" ht="13.8" hidden="false" customHeight="false" outlineLevel="0" collapsed="false">
      <c r="A68" s="1" t="n">
        <v>1364</v>
      </c>
      <c r="B68" s="2" t="n">
        <v>1173.63</v>
      </c>
      <c r="C68" s="1" t="n">
        <v>0.9</v>
      </c>
      <c r="D68" s="1" t="n">
        <v>10</v>
      </c>
      <c r="E68" s="1" t="n">
        <f aca="false">D68*C68</f>
        <v>9</v>
      </c>
      <c r="F68" s="3" t="n">
        <v>-0.42184056</v>
      </c>
      <c r="G68" s="4" t="n">
        <v>46.8711733333333</v>
      </c>
    </row>
    <row r="69" customFormat="false" ht="13.8" hidden="false" customHeight="false" outlineLevel="0" collapsed="false">
      <c r="A69" s="1" t="n">
        <v>1368</v>
      </c>
      <c r="B69" s="2" t="n">
        <v>1141.91</v>
      </c>
      <c r="C69" s="1" t="n">
        <v>0.8</v>
      </c>
      <c r="D69" s="1" t="n">
        <v>10</v>
      </c>
      <c r="E69" s="1" t="n">
        <f aca="false">D69*C69</f>
        <v>8</v>
      </c>
      <c r="F69" s="3" t="n">
        <v>-0.39916096</v>
      </c>
      <c r="G69" s="4" t="n">
        <v>49.89512</v>
      </c>
    </row>
    <row r="70" customFormat="false" ht="13.8" hidden="false" customHeight="false" outlineLevel="0" collapsed="false">
      <c r="A70" s="1" t="n">
        <v>1372</v>
      </c>
      <c r="B70" s="2" t="n">
        <v>1113.95</v>
      </c>
      <c r="C70" s="1" t="n">
        <v>0.8</v>
      </c>
      <c r="D70" s="1" t="n">
        <v>10</v>
      </c>
      <c r="E70" s="1" t="n">
        <f aca="false">D70*C70</f>
        <v>8</v>
      </c>
      <c r="F70" s="3" t="n">
        <v>-0.38101728</v>
      </c>
      <c r="G70" s="4" t="n">
        <v>47.62716</v>
      </c>
    </row>
    <row r="71" customFormat="false" ht="13.8" hidden="false" customHeight="false" outlineLevel="0" collapsed="false">
      <c r="A71" s="1" t="n">
        <v>1376</v>
      </c>
      <c r="B71" s="2" t="n">
        <v>1079.74</v>
      </c>
      <c r="C71" s="1" t="n">
        <v>0.7</v>
      </c>
      <c r="D71" s="1" t="n">
        <v>10</v>
      </c>
      <c r="E71" s="1" t="n">
        <f aca="false">D71*C71</f>
        <v>7</v>
      </c>
      <c r="F71" s="3" t="n">
        <v>-0.35380176</v>
      </c>
      <c r="G71" s="4" t="n">
        <v>50.5431085714286</v>
      </c>
    </row>
    <row r="72" customFormat="false" ht="13.8" hidden="false" customHeight="false" outlineLevel="0" collapsed="false">
      <c r="A72" s="1" t="n">
        <v>1380</v>
      </c>
      <c r="B72" s="2" t="n">
        <v>1047.69</v>
      </c>
      <c r="C72" s="1" t="n">
        <v>0.7</v>
      </c>
      <c r="D72" s="1" t="n">
        <v>10</v>
      </c>
      <c r="E72" s="1" t="n">
        <f aca="false">D72*C72</f>
        <v>7</v>
      </c>
      <c r="F72" s="3" t="n">
        <v>-0.33565808</v>
      </c>
      <c r="G72" s="4" t="n">
        <v>47.9511542857143</v>
      </c>
    </row>
    <row r="73" customFormat="false" ht="13.8" hidden="false" customHeight="false" outlineLevel="0" collapsed="false">
      <c r="A73" s="1" t="n">
        <v>1384</v>
      </c>
      <c r="B73" s="2" t="n">
        <v>1015.58</v>
      </c>
      <c r="C73" s="1" t="n">
        <v>0.6</v>
      </c>
      <c r="D73" s="1" t="n">
        <v>10</v>
      </c>
      <c r="E73" s="1" t="n">
        <f aca="false">D73*C73</f>
        <v>6</v>
      </c>
      <c r="F73" s="3" t="n">
        <v>-0.31297848</v>
      </c>
      <c r="G73" s="4" t="n">
        <v>52.16308</v>
      </c>
    </row>
    <row r="74" customFormat="false" ht="13.8" hidden="false" customHeight="false" outlineLevel="0" collapsed="false">
      <c r="A74" s="1" t="n">
        <v>1388</v>
      </c>
      <c r="B74" s="2" t="n">
        <v>985.54</v>
      </c>
      <c r="C74" s="1" t="n">
        <v>0.5</v>
      </c>
      <c r="D74" s="1" t="n">
        <v>10</v>
      </c>
      <c r="E74" s="1" t="n">
        <f aca="false">D74*C74</f>
        <v>5</v>
      </c>
      <c r="F74" s="3" t="n">
        <v>-0.2948348</v>
      </c>
      <c r="G74" s="4" t="n">
        <v>58.96696</v>
      </c>
    </row>
    <row r="75" customFormat="false" ht="13.8" hidden="false" customHeight="false" outlineLevel="0" collapsed="false">
      <c r="A75" s="1" t="n">
        <v>1392</v>
      </c>
      <c r="B75" s="2" t="n">
        <v>948.45</v>
      </c>
      <c r="C75" s="1" t="n">
        <v>0.5</v>
      </c>
      <c r="D75" s="1" t="n">
        <v>10</v>
      </c>
      <c r="E75" s="1" t="n">
        <f aca="false">D75*C75</f>
        <v>5</v>
      </c>
      <c r="F75" s="3" t="n">
        <v>-0.27669112</v>
      </c>
      <c r="G75" s="4" t="n">
        <v>55.338224</v>
      </c>
    </row>
    <row r="76" customFormat="false" ht="13.8" hidden="false" customHeight="false" outlineLevel="0" collapsed="false">
      <c r="A76" s="1" t="n">
        <v>1396</v>
      </c>
      <c r="B76" s="2" t="n">
        <v>916.27</v>
      </c>
      <c r="C76" s="1" t="n">
        <v>0.4</v>
      </c>
      <c r="D76" s="1" t="n">
        <v>10</v>
      </c>
      <c r="E76" s="1" t="n">
        <f aca="false">D76*C76</f>
        <v>4</v>
      </c>
      <c r="F76" s="3" t="n">
        <v>-0.2494756</v>
      </c>
      <c r="G76" s="4" t="n">
        <v>62.3689</v>
      </c>
    </row>
    <row r="77" customFormat="false" ht="13.8" hidden="false" customHeight="false" outlineLevel="0" collapsed="false">
      <c r="A77" s="1" t="n">
        <v>1400</v>
      </c>
      <c r="B77" s="2" t="n">
        <v>882.74</v>
      </c>
      <c r="C77" s="1" t="n">
        <v>0.4</v>
      </c>
      <c r="D77" s="1" t="n">
        <v>10</v>
      </c>
      <c r="E77" s="1" t="n">
        <f aca="false">D77*C77</f>
        <v>4</v>
      </c>
      <c r="F77" s="3" t="n">
        <v>-0.23586784</v>
      </c>
      <c r="G77" s="4" t="n">
        <v>58.96696</v>
      </c>
    </row>
    <row r="78" customFormat="false" ht="13.8" hidden="false" customHeight="false" outlineLevel="0" collapsed="false">
      <c r="A78" s="1" t="n">
        <v>1404</v>
      </c>
      <c r="B78" s="2" t="n">
        <v>845.2</v>
      </c>
      <c r="C78" s="1" t="n">
        <v>0.4</v>
      </c>
      <c r="D78" s="1" t="n">
        <v>10</v>
      </c>
      <c r="E78" s="1" t="n">
        <f aca="false">D78*C78</f>
        <v>4</v>
      </c>
      <c r="F78" s="3" t="n">
        <v>-0.21318824</v>
      </c>
      <c r="G78" s="4" t="n">
        <v>53.29706</v>
      </c>
    </row>
    <row r="79" customFormat="false" ht="13.8" hidden="false" customHeight="false" outlineLevel="0" collapsed="false">
      <c r="A79" s="1" t="n">
        <v>1408</v>
      </c>
      <c r="B79" s="2" t="n">
        <v>813.07</v>
      </c>
      <c r="C79" s="1" t="n">
        <v>0.3</v>
      </c>
      <c r="D79" s="1" t="n">
        <v>10</v>
      </c>
      <c r="E79" s="1" t="n">
        <f aca="false">D79*C79</f>
        <v>3</v>
      </c>
      <c r="F79" s="3" t="n">
        <v>-0.19958048</v>
      </c>
      <c r="G79" s="4" t="n">
        <v>66.5268266666667</v>
      </c>
    </row>
    <row r="80" customFormat="false" ht="13.8" hidden="false" customHeight="false" outlineLevel="0" collapsed="false">
      <c r="A80" s="1" t="n">
        <v>1412</v>
      </c>
      <c r="B80" s="2" t="n">
        <v>773.62</v>
      </c>
      <c r="C80" s="1" t="n">
        <v>0.22</v>
      </c>
      <c r="D80" s="1" t="n">
        <v>10</v>
      </c>
      <c r="E80" s="1" t="n">
        <f aca="false">D80*C80</f>
        <v>2.2</v>
      </c>
      <c r="F80" s="3" t="n">
        <v>-0.1814368</v>
      </c>
      <c r="G80" s="4" t="n">
        <v>82.4712727272727</v>
      </c>
    </row>
    <row r="81" customFormat="false" ht="13.8" hidden="false" customHeight="false" outlineLevel="0" collapsed="false">
      <c r="A81" s="1" t="n">
        <v>1416</v>
      </c>
      <c r="B81" s="2" t="n">
        <v>739.5</v>
      </c>
      <c r="C81" s="1" t="n">
        <v>0.2</v>
      </c>
      <c r="D81" s="1" t="n">
        <v>10</v>
      </c>
      <c r="E81" s="1" t="n">
        <f aca="false">D81*C81</f>
        <v>2</v>
      </c>
      <c r="F81" s="3" t="n">
        <v>-0.16329312</v>
      </c>
      <c r="G81" s="4" t="n">
        <v>81.64656</v>
      </c>
    </row>
    <row r="82" customFormat="false" ht="13.8" hidden="false" customHeight="false" outlineLevel="0" collapsed="false">
      <c r="A82" s="1" t="n">
        <v>1420</v>
      </c>
      <c r="B82" s="2" t="n">
        <v>700.67</v>
      </c>
      <c r="C82" s="1" t="n">
        <v>0.2</v>
      </c>
      <c r="D82" s="1" t="n">
        <v>10</v>
      </c>
      <c r="E82" s="1" t="n">
        <f aca="false">D82*C82</f>
        <v>2</v>
      </c>
      <c r="F82" s="3" t="n">
        <v>-0.15422128</v>
      </c>
      <c r="G82" s="4" t="n">
        <v>77.11064</v>
      </c>
    </row>
    <row r="83" customFormat="false" ht="13.8" hidden="false" customHeight="false" outlineLevel="0" collapsed="false">
      <c r="A83" s="1" t="n">
        <v>1424</v>
      </c>
      <c r="B83" s="2" t="n">
        <v>664.03</v>
      </c>
      <c r="C83" s="1" t="n">
        <v>0.2</v>
      </c>
      <c r="D83" s="1" t="n">
        <v>10</v>
      </c>
      <c r="E83" s="1" t="n">
        <f aca="false">D83*C83</f>
        <v>2</v>
      </c>
      <c r="F83" s="3" t="n">
        <v>-0.1360776</v>
      </c>
      <c r="G83" s="4" t="n">
        <v>68.0388</v>
      </c>
    </row>
    <row r="84" customFormat="false" ht="13.8" hidden="false" customHeight="false" outlineLevel="0" collapsed="false">
      <c r="A84" s="1" t="n">
        <v>1428</v>
      </c>
      <c r="B84" s="2" t="n">
        <v>624.21</v>
      </c>
      <c r="C84" s="1" t="n">
        <v>0.2</v>
      </c>
      <c r="D84" s="1" t="n">
        <v>10</v>
      </c>
      <c r="E84" s="1" t="n">
        <f aca="false">D84*C84</f>
        <v>2</v>
      </c>
      <c r="F84" s="3" t="n">
        <v>-0.11793392</v>
      </c>
      <c r="G84" s="4" t="n">
        <v>58.96696</v>
      </c>
    </row>
    <row r="85" customFormat="false" ht="13.8" hidden="false" customHeight="false" outlineLevel="0" collapsed="false">
      <c r="A85" s="1" t="n">
        <v>1432</v>
      </c>
      <c r="B85" s="2" t="n">
        <v>584.37</v>
      </c>
      <c r="C85" s="1" t="n">
        <v>0.1</v>
      </c>
      <c r="D85" s="1" t="n">
        <v>10</v>
      </c>
      <c r="E85" s="1" t="n">
        <f aca="false">D85*C85</f>
        <v>1</v>
      </c>
      <c r="F85" s="3" t="n">
        <v>-0.09979024</v>
      </c>
      <c r="G85" s="4" t="n">
        <v>99.79024</v>
      </c>
    </row>
    <row r="86" customFormat="false" ht="13.8" hidden="false" customHeight="false" outlineLevel="0" collapsed="false">
      <c r="A86" s="1" t="n">
        <v>1436</v>
      </c>
      <c r="B86" s="2" t="n">
        <v>544.9</v>
      </c>
      <c r="C86" s="1" t="n">
        <v>0.1</v>
      </c>
      <c r="D86" s="1" t="n">
        <v>10</v>
      </c>
      <c r="E86" s="1" t="n">
        <f aca="false">D86*C86</f>
        <v>1</v>
      </c>
      <c r="F86" s="3" t="n">
        <v>-0.08618248</v>
      </c>
      <c r="G86" s="4" t="n">
        <v>86.18248</v>
      </c>
    </row>
    <row r="87" customFormat="false" ht="13.8" hidden="false" customHeight="false" outlineLevel="0" collapsed="false">
      <c r="A87" s="1" t="n">
        <v>1440</v>
      </c>
      <c r="B87" s="2" t="n">
        <v>504.09</v>
      </c>
      <c r="C87" s="1" t="n">
        <v>0.1</v>
      </c>
      <c r="D87" s="1" t="n">
        <v>10</v>
      </c>
      <c r="E87" s="1" t="n">
        <f aca="false">D87*C87</f>
        <v>1</v>
      </c>
      <c r="F87" s="3" t="n">
        <v>-0.07257472</v>
      </c>
      <c r="G87" s="4" t="n">
        <v>72.57472</v>
      </c>
    </row>
    <row r="88" customFormat="false" ht="13.8" hidden="false" customHeight="false" outlineLevel="0" collapsed="false">
      <c r="A88" s="1" t="n">
        <v>1444</v>
      </c>
      <c r="B88" s="2" t="n">
        <v>462</v>
      </c>
      <c r="C88" s="1" t="n">
        <v>0.05</v>
      </c>
      <c r="D88" s="1" t="n">
        <v>10</v>
      </c>
      <c r="E88" s="1" t="n">
        <f aca="false">D88*C88</f>
        <v>0.5</v>
      </c>
      <c r="F88" s="3" t="n">
        <v>-0.06350288</v>
      </c>
      <c r="G88" s="4" t="n">
        <v>127.00576</v>
      </c>
    </row>
    <row r="89" customFormat="false" ht="13.8" hidden="false" customHeight="false" outlineLevel="0" collapsed="false">
      <c r="A89" s="1" t="n">
        <v>1448</v>
      </c>
      <c r="B89" s="2" t="n">
        <v>421.48</v>
      </c>
      <c r="C89" s="1" t="n">
        <v>0.05</v>
      </c>
      <c r="D89" s="1" t="n">
        <v>10</v>
      </c>
      <c r="E89" s="1" t="n">
        <f aca="false">D89*C89</f>
        <v>0.5</v>
      </c>
      <c r="F89" s="3" t="n">
        <v>-0.05443104</v>
      </c>
      <c r="G89" s="4" t="n">
        <v>108.86208</v>
      </c>
    </row>
    <row r="90" customFormat="false" ht="13.8" hidden="false" customHeight="false" outlineLevel="0" collapsed="false">
      <c r="A90" s="1" t="n">
        <v>1452</v>
      </c>
      <c r="B90" s="2" t="n">
        <v>377.18</v>
      </c>
      <c r="C90" s="1" t="n">
        <v>0.05</v>
      </c>
      <c r="D90" s="1" t="n">
        <v>10</v>
      </c>
      <c r="E90" s="1" t="n">
        <f aca="false">D90*C90</f>
        <v>0.5</v>
      </c>
      <c r="F90" s="3" t="n">
        <v>-0.0453592</v>
      </c>
      <c r="G90" s="4" t="n">
        <v>90.7184</v>
      </c>
    </row>
    <row r="91" customFormat="false" ht="13.8" hidden="false" customHeight="false" outlineLevel="0" collapsed="false">
      <c r="A91" s="1" t="n">
        <v>1456</v>
      </c>
      <c r="B91" s="2" t="n">
        <v>334.68</v>
      </c>
      <c r="C91" s="1" t="n">
        <v>0.05</v>
      </c>
      <c r="D91" s="1" t="n">
        <v>10</v>
      </c>
      <c r="E91" s="1" t="n">
        <f aca="false">D91*C91</f>
        <v>0.5</v>
      </c>
      <c r="F91" s="3" t="n">
        <v>-0.03175144</v>
      </c>
      <c r="G91" s="4" t="n">
        <v>63.50288</v>
      </c>
    </row>
    <row r="92" customFormat="false" ht="13.8" hidden="false" customHeight="false" outlineLevel="0" collapsed="false">
      <c r="A92" s="1" t="n">
        <v>1460</v>
      </c>
      <c r="B92" s="2" t="n">
        <v>0</v>
      </c>
      <c r="C92" s="1" t="n">
        <v>0</v>
      </c>
      <c r="D92" s="1" t="n">
        <v>10</v>
      </c>
      <c r="E92" s="1" t="n">
        <f aca="false">D92*C92</f>
        <v>0</v>
      </c>
      <c r="F92" s="3" t="n">
        <v>0</v>
      </c>
      <c r="G92" s="4" t="n">
        <v>0</v>
      </c>
    </row>
    <row r="93" customFormat="false" ht="13.8" hidden="false" customHeight="false" outlineLevel="0" collapsed="false">
      <c r="A93" s="1" t="n">
        <v>1464</v>
      </c>
      <c r="B93" s="2" t="n">
        <v>0</v>
      </c>
      <c r="C93" s="1" t="n">
        <v>0</v>
      </c>
      <c r="D93" s="1" t="n">
        <v>10</v>
      </c>
      <c r="E93" s="1" t="n">
        <f aca="false">D93*C93</f>
        <v>0</v>
      </c>
      <c r="F93" s="3" t="n">
        <v>0</v>
      </c>
      <c r="G93" s="4" t="n">
        <v>0</v>
      </c>
    </row>
    <row r="94" customFormat="false" ht="13.8" hidden="false" customHeight="false" outlineLevel="0" collapsed="false">
      <c r="A94" s="1" t="n">
        <v>1468</v>
      </c>
      <c r="B94" s="2" t="n">
        <v>0</v>
      </c>
      <c r="C94" s="1" t="n">
        <v>0</v>
      </c>
      <c r="D94" s="1" t="n">
        <v>10</v>
      </c>
      <c r="E94" s="1" t="n">
        <f aca="false">D94*C94</f>
        <v>0</v>
      </c>
      <c r="F94" s="3" t="n">
        <v>0</v>
      </c>
      <c r="G94" s="4" t="n">
        <v>0</v>
      </c>
    </row>
    <row r="95" customFormat="false" ht="13.8" hidden="false" customHeight="false" outlineLevel="0" collapsed="false">
      <c r="A95" s="1" t="n">
        <v>1472</v>
      </c>
      <c r="B95" s="2" t="n">
        <v>0</v>
      </c>
      <c r="C95" s="1" t="n">
        <v>0</v>
      </c>
      <c r="D95" s="1" t="n">
        <v>10</v>
      </c>
      <c r="E95" s="1" t="n">
        <f aca="false">D95*C95</f>
        <v>0</v>
      </c>
      <c r="F95" s="3" t="n">
        <v>0</v>
      </c>
      <c r="G95" s="4" t="n">
        <v>0</v>
      </c>
    </row>
    <row r="96" customFormat="false" ht="13.8" hidden="false" customHeight="false" outlineLevel="0" collapsed="false">
      <c r="A96" s="1" t="n">
        <v>1476</v>
      </c>
      <c r="B96" s="2" t="n">
        <v>0</v>
      </c>
      <c r="C96" s="1" t="n">
        <v>0</v>
      </c>
      <c r="D96" s="1" t="n">
        <v>10</v>
      </c>
      <c r="E96" s="1" t="n">
        <f aca="false">D96*C96</f>
        <v>0</v>
      </c>
      <c r="F96" s="3" t="n">
        <v>0</v>
      </c>
      <c r="G96" s="4" t="n">
        <v>0</v>
      </c>
    </row>
    <row r="97" customFormat="false" ht="13.8" hidden="false" customHeight="false" outlineLevel="0" collapsed="false">
      <c r="A97" s="1" t="n">
        <v>1480</v>
      </c>
      <c r="B97" s="2" t="n">
        <v>0</v>
      </c>
      <c r="C97" s="1" t="n">
        <v>0</v>
      </c>
      <c r="D97" s="1" t="n">
        <v>10</v>
      </c>
      <c r="E97" s="1" t="n">
        <f aca="false">D97*C97</f>
        <v>0</v>
      </c>
      <c r="F97" s="3" t="n">
        <v>0</v>
      </c>
      <c r="G97" s="4" t="n">
        <v>0</v>
      </c>
    </row>
    <row r="98" customFormat="false" ht="13.8" hidden="false" customHeight="false" outlineLevel="0" collapsed="false">
      <c r="A98" s="1" t="n">
        <v>1484</v>
      </c>
      <c r="B98" s="2" t="n">
        <v>0</v>
      </c>
      <c r="C98" s="1" t="n">
        <v>0</v>
      </c>
      <c r="D98" s="1" t="n">
        <v>10</v>
      </c>
      <c r="E98" s="1" t="n">
        <f aca="false">D98*C98</f>
        <v>0</v>
      </c>
      <c r="F98" s="3" t="n">
        <v>0</v>
      </c>
      <c r="G98" s="4" t="n">
        <v>0</v>
      </c>
    </row>
    <row r="99" customFormat="false" ht="13.8" hidden="false" customHeight="false" outlineLevel="0" collapsed="false">
      <c r="A99" s="1" t="n">
        <v>1488</v>
      </c>
      <c r="B99" s="2" t="n">
        <v>0</v>
      </c>
      <c r="C99" s="1" t="n">
        <v>0</v>
      </c>
      <c r="D99" s="1" t="n">
        <v>10</v>
      </c>
      <c r="E99" s="1" t="n">
        <f aca="false">D99*C99</f>
        <v>0</v>
      </c>
      <c r="F99" s="3" t="n">
        <v>0</v>
      </c>
      <c r="G99" s="4" t="n">
        <v>0</v>
      </c>
    </row>
    <row r="100" customFormat="false" ht="13.8" hidden="false" customHeight="false" outlineLevel="0" collapsed="false">
      <c r="A100" s="1" t="n">
        <v>1492</v>
      </c>
      <c r="B100" s="2" t="n">
        <v>0</v>
      </c>
      <c r="C100" s="1" t="n">
        <v>0</v>
      </c>
      <c r="D100" s="1" t="n">
        <v>10</v>
      </c>
      <c r="E100" s="1" t="n">
        <f aca="false">D100*C100</f>
        <v>0</v>
      </c>
      <c r="F100" s="3" t="n">
        <v>0</v>
      </c>
      <c r="G100" s="4" t="n">
        <v>0</v>
      </c>
    </row>
    <row r="101" customFormat="false" ht="13.8" hidden="false" customHeight="false" outlineLevel="0" collapsed="false">
      <c r="A101" s="1" t="n">
        <v>1496</v>
      </c>
      <c r="B101" s="2" t="n">
        <v>0</v>
      </c>
      <c r="C101" s="1" t="n">
        <v>0</v>
      </c>
      <c r="D101" s="1" t="n">
        <v>10</v>
      </c>
      <c r="E101" s="1" t="n">
        <f aca="false">D101*C101</f>
        <v>0</v>
      </c>
      <c r="F101" s="3" t="n">
        <v>0</v>
      </c>
      <c r="G101" s="4" t="n">
        <v>0</v>
      </c>
    </row>
    <row r="102" customFormat="false" ht="13.8" hidden="false" customHeight="false" outlineLevel="0" collapsed="false">
      <c r="A102" s="1" t="n">
        <v>1500</v>
      </c>
      <c r="B102" s="2" t="n">
        <v>0</v>
      </c>
      <c r="C102" s="1" t="n">
        <v>0</v>
      </c>
      <c r="D102" s="1" t="n">
        <v>10</v>
      </c>
      <c r="E102" s="1" t="n">
        <f aca="false">D102*C102</f>
        <v>0</v>
      </c>
      <c r="F102" s="3" t="n">
        <v>0</v>
      </c>
      <c r="G102" s="4" t="n">
        <v>0</v>
      </c>
    </row>
    <row r="103" customFormat="false" ht="13.8" hidden="false" customHeight="false" outlineLevel="0" collapsed="false">
      <c r="A103" s="1" t="n">
        <v>1504</v>
      </c>
      <c r="B103" s="2" t="n">
        <v>0</v>
      </c>
      <c r="C103" s="1" t="n">
        <v>0</v>
      </c>
      <c r="D103" s="1" t="n">
        <v>10</v>
      </c>
      <c r="E103" s="1" t="n">
        <f aca="false">D103*C103</f>
        <v>0</v>
      </c>
      <c r="F103" s="3" t="n">
        <v>0</v>
      </c>
      <c r="G103" s="4" t="n">
        <v>0</v>
      </c>
    </row>
    <row r="104" customFormat="false" ht="13.8" hidden="false" customHeight="false" outlineLevel="0" collapsed="false">
      <c r="A104" s="1" t="n">
        <v>1508</v>
      </c>
      <c r="B104" s="2" t="n">
        <v>0</v>
      </c>
      <c r="C104" s="1" t="n">
        <v>0</v>
      </c>
      <c r="D104" s="1" t="n">
        <v>10</v>
      </c>
      <c r="E104" s="1" t="n">
        <f aca="false">D104*C104</f>
        <v>0</v>
      </c>
      <c r="F104" s="3" t="n">
        <v>0</v>
      </c>
      <c r="G104" s="4" t="n">
        <v>0</v>
      </c>
    </row>
    <row r="105" customFormat="false" ht="13.8" hidden="false" customHeight="false" outlineLevel="0" collapsed="false">
      <c r="A105" s="1" t="n">
        <v>1512</v>
      </c>
      <c r="B105" s="2" t="n">
        <v>0</v>
      </c>
      <c r="C105" s="1" t="n">
        <v>0</v>
      </c>
      <c r="D105" s="1" t="n">
        <v>10</v>
      </c>
      <c r="E105" s="1" t="n">
        <f aca="false">D105*C105</f>
        <v>0</v>
      </c>
      <c r="F105" s="3" t="n">
        <v>0</v>
      </c>
      <c r="G105" s="4" t="n">
        <v>0</v>
      </c>
    </row>
    <row r="106" customFormat="false" ht="13.8" hidden="false" customHeight="false" outlineLevel="0" collapsed="false">
      <c r="A106" s="1" t="n">
        <v>1516</v>
      </c>
      <c r="B106" s="2" t="n">
        <v>0</v>
      </c>
      <c r="C106" s="1" t="n">
        <v>0</v>
      </c>
      <c r="D106" s="1" t="n">
        <v>10</v>
      </c>
      <c r="E106" s="1" t="n">
        <f aca="false">D106*C106</f>
        <v>0</v>
      </c>
      <c r="F106" s="3" t="n">
        <v>0</v>
      </c>
      <c r="G106" s="4" t="n">
        <v>0</v>
      </c>
    </row>
    <row r="107" customFormat="false" ht="13.8" hidden="false" customHeight="false" outlineLevel="0" collapsed="false">
      <c r="A107" s="1" t="n">
        <v>1520</v>
      </c>
      <c r="B107" s="2" t="n">
        <v>0</v>
      </c>
      <c r="C107" s="1" t="n">
        <v>0</v>
      </c>
      <c r="D107" s="1" t="n">
        <v>10</v>
      </c>
      <c r="E107" s="1" t="n">
        <f aca="false">D107*C107</f>
        <v>0</v>
      </c>
      <c r="F107" s="3" t="n">
        <v>0</v>
      </c>
      <c r="G107" s="4" t="n">
        <v>0</v>
      </c>
    </row>
    <row r="108" customFormat="false" ht="13.8" hidden="false" customHeight="false" outlineLevel="0" collapsed="false">
      <c r="A108" s="1" t="n">
        <v>1524</v>
      </c>
      <c r="B108" s="2" t="n">
        <v>0</v>
      </c>
      <c r="C108" s="1" t="n">
        <v>0</v>
      </c>
      <c r="D108" s="1" t="n">
        <v>10</v>
      </c>
      <c r="E108" s="1" t="n">
        <f aca="false">D108*C108</f>
        <v>0</v>
      </c>
      <c r="F108" s="3" t="n">
        <v>0</v>
      </c>
      <c r="G108" s="4" t="n">
        <v>0</v>
      </c>
    </row>
    <row r="109" customFormat="false" ht="13.8" hidden="false" customHeight="false" outlineLevel="0" collapsed="false">
      <c r="A109" s="1" t="n">
        <v>1528</v>
      </c>
      <c r="B109" s="2" t="n">
        <v>0</v>
      </c>
      <c r="C109" s="1" t="n">
        <v>0</v>
      </c>
      <c r="D109" s="1" t="n">
        <v>10</v>
      </c>
      <c r="E109" s="1" t="n">
        <f aca="false">D109*C109</f>
        <v>0</v>
      </c>
      <c r="F109" s="3" t="n">
        <v>0</v>
      </c>
      <c r="G109" s="4" t="n">
        <v>0</v>
      </c>
    </row>
    <row r="110" customFormat="false" ht="13.8" hidden="false" customHeight="false" outlineLevel="0" collapsed="false">
      <c r="A110" s="1" t="n">
        <v>1532</v>
      </c>
      <c r="B110" s="2" t="n">
        <v>0</v>
      </c>
      <c r="C110" s="1" t="n">
        <v>0</v>
      </c>
      <c r="D110" s="1" t="n">
        <v>10</v>
      </c>
      <c r="E110" s="1" t="n">
        <f aca="false">D110*C110</f>
        <v>0</v>
      </c>
      <c r="F110" s="3" t="n">
        <v>0</v>
      </c>
      <c r="G110" s="4" t="n">
        <v>0</v>
      </c>
    </row>
    <row r="111" customFormat="false" ht="13.8" hidden="false" customHeight="false" outlineLevel="0" collapsed="false">
      <c r="A111" s="1" t="n">
        <v>1536</v>
      </c>
      <c r="B111" s="2" t="n">
        <v>0</v>
      </c>
      <c r="C111" s="1" t="n">
        <v>0</v>
      </c>
      <c r="D111" s="1" t="n">
        <v>10</v>
      </c>
      <c r="E111" s="1" t="n">
        <f aca="false">D111*C111</f>
        <v>0</v>
      </c>
      <c r="F111" s="3" t="n">
        <v>0</v>
      </c>
      <c r="G111" s="4" t="n">
        <v>0</v>
      </c>
    </row>
    <row r="112" customFormat="false" ht="13.8" hidden="false" customHeight="false" outlineLevel="0" collapsed="false">
      <c r="A112" s="1" t="n">
        <v>1540</v>
      </c>
      <c r="B112" s="2" t="n">
        <v>0</v>
      </c>
      <c r="C112" s="1" t="n">
        <v>0</v>
      </c>
      <c r="D112" s="1" t="n">
        <v>10</v>
      </c>
      <c r="E112" s="1" t="n">
        <f aca="false">D112*C112</f>
        <v>0</v>
      </c>
      <c r="F112" s="3" t="n">
        <v>0</v>
      </c>
      <c r="G112" s="4" t="n">
        <v>0</v>
      </c>
    </row>
    <row r="113" customFormat="false" ht="13.8" hidden="false" customHeight="false" outlineLevel="0" collapsed="false">
      <c r="A113" s="1" t="n">
        <v>1544</v>
      </c>
      <c r="B113" s="2" t="n">
        <v>332.34</v>
      </c>
      <c r="C113" s="1" t="n">
        <v>0.05</v>
      </c>
      <c r="D113" s="1" t="n">
        <v>10</v>
      </c>
      <c r="E113" s="1" t="n">
        <f aca="false">D113*C113</f>
        <v>0.5</v>
      </c>
      <c r="F113" s="3" t="n">
        <v>0.04082328</v>
      </c>
      <c r="G113" s="4" t="n">
        <v>81.64656</v>
      </c>
    </row>
    <row r="114" customFormat="false" ht="13.8" hidden="false" customHeight="false" outlineLevel="0" collapsed="false">
      <c r="A114" s="1" t="n">
        <v>1548</v>
      </c>
      <c r="B114" s="2" t="n">
        <v>373.31</v>
      </c>
      <c r="C114" s="1" t="n">
        <v>0.05</v>
      </c>
      <c r="D114" s="1" t="n">
        <v>10</v>
      </c>
      <c r="E114" s="1" t="n">
        <f aca="false">D114*C114</f>
        <v>0.5</v>
      </c>
      <c r="F114" s="3" t="n">
        <v>0.05443104</v>
      </c>
      <c r="G114" s="4" t="n">
        <v>108.86208</v>
      </c>
    </row>
    <row r="115" customFormat="false" ht="13.8" hidden="false" customHeight="false" outlineLevel="0" collapsed="false">
      <c r="A115" s="1" t="n">
        <v>1552</v>
      </c>
      <c r="B115" s="2" t="n">
        <v>417.31</v>
      </c>
      <c r="C115" s="1" t="n">
        <v>0.05</v>
      </c>
      <c r="D115" s="1" t="n">
        <v>10</v>
      </c>
      <c r="E115" s="1" t="n">
        <f aca="false">D115*C115</f>
        <v>0.5</v>
      </c>
      <c r="F115" s="3" t="n">
        <v>0.0680388</v>
      </c>
      <c r="G115" s="4" t="n">
        <v>136.0776</v>
      </c>
    </row>
    <row r="116" customFormat="false" ht="13.8" hidden="false" customHeight="false" outlineLevel="0" collapsed="false">
      <c r="A116" s="1" t="n">
        <v>1556</v>
      </c>
      <c r="B116" s="2" t="n">
        <v>458.76</v>
      </c>
      <c r="C116" s="1" t="n">
        <v>0.1</v>
      </c>
      <c r="D116" s="1" t="n">
        <v>10</v>
      </c>
      <c r="E116" s="1" t="n">
        <f aca="false">D116*C116</f>
        <v>1</v>
      </c>
      <c r="F116" s="3" t="n">
        <v>0.07711064</v>
      </c>
      <c r="G116" s="4" t="n">
        <v>77.11064</v>
      </c>
    </row>
    <row r="117" customFormat="false" ht="13.8" hidden="false" customHeight="false" outlineLevel="0" collapsed="false">
      <c r="A117" s="1" t="n">
        <v>1560</v>
      </c>
      <c r="B117" s="2" t="n">
        <v>500.1</v>
      </c>
      <c r="C117" s="1" t="n">
        <v>0.1</v>
      </c>
      <c r="D117" s="1" t="n">
        <v>10</v>
      </c>
      <c r="E117" s="1" t="n">
        <f aca="false">D117*C117</f>
        <v>1</v>
      </c>
      <c r="F117" s="3" t="n">
        <v>0.0907184</v>
      </c>
      <c r="G117" s="4" t="n">
        <v>90.7184</v>
      </c>
    </row>
    <row r="118" customFormat="false" ht="13.8" hidden="false" customHeight="false" outlineLevel="0" collapsed="false">
      <c r="A118" s="1" t="n">
        <v>1564</v>
      </c>
      <c r="B118" s="2" t="n">
        <v>540.3</v>
      </c>
      <c r="C118" s="1" t="n">
        <v>0.1</v>
      </c>
      <c r="D118" s="1" t="n">
        <v>10</v>
      </c>
      <c r="E118" s="1" t="n">
        <f aca="false">D118*C118</f>
        <v>1</v>
      </c>
      <c r="F118" s="3" t="n">
        <v>0.10886208</v>
      </c>
      <c r="G118" s="4" t="n">
        <v>108.86208</v>
      </c>
    </row>
    <row r="119" customFormat="false" ht="13.8" hidden="false" customHeight="false" outlineLevel="0" collapsed="false">
      <c r="A119" s="1" t="n">
        <v>1568</v>
      </c>
      <c r="B119" s="2" t="n">
        <v>582.31</v>
      </c>
      <c r="C119" s="1" t="n">
        <v>0.1</v>
      </c>
      <c r="D119" s="1" t="n">
        <v>10</v>
      </c>
      <c r="E119" s="1" t="n">
        <f aca="false">D119*C119</f>
        <v>1</v>
      </c>
      <c r="F119" s="3" t="n">
        <v>0.12700576</v>
      </c>
      <c r="G119" s="4" t="n">
        <v>127.00576</v>
      </c>
    </row>
    <row r="120" customFormat="false" ht="13.8" hidden="false" customHeight="false" outlineLevel="0" collapsed="false">
      <c r="A120" s="1" t="n">
        <v>1572</v>
      </c>
      <c r="B120" s="2" t="n">
        <v>621</v>
      </c>
      <c r="C120" s="1" t="n">
        <v>0.2</v>
      </c>
      <c r="D120" s="1" t="n">
        <v>10</v>
      </c>
      <c r="E120" s="1" t="n">
        <f aca="false">D120*C120</f>
        <v>2</v>
      </c>
      <c r="F120" s="3" t="n">
        <v>0.14514944</v>
      </c>
      <c r="G120" s="4" t="n">
        <v>72.57472</v>
      </c>
    </row>
    <row r="121" customFormat="false" ht="13.8" hidden="false" customHeight="false" outlineLevel="0" collapsed="false">
      <c r="A121" s="1" t="n">
        <v>1576</v>
      </c>
      <c r="B121" s="2" t="n">
        <v>657.13</v>
      </c>
      <c r="C121" s="1" t="n">
        <v>0.2</v>
      </c>
      <c r="D121" s="1" t="n">
        <v>10</v>
      </c>
      <c r="E121" s="1" t="n">
        <f aca="false">D121*C121</f>
        <v>2</v>
      </c>
      <c r="F121" s="3" t="n">
        <v>0.16329312</v>
      </c>
      <c r="G121" s="4" t="n">
        <v>81.64656</v>
      </c>
    </row>
    <row r="122" customFormat="false" ht="13.8" hidden="false" customHeight="false" outlineLevel="0" collapsed="false">
      <c r="A122" s="1" t="n">
        <v>1580</v>
      </c>
      <c r="B122" s="2" t="n">
        <v>694.76</v>
      </c>
      <c r="C122" s="1" t="n">
        <v>0.2</v>
      </c>
      <c r="D122" s="1" t="n">
        <v>10</v>
      </c>
      <c r="E122" s="1" t="n">
        <f aca="false">D122*C122</f>
        <v>2</v>
      </c>
      <c r="F122" s="3" t="n">
        <v>0.1814368</v>
      </c>
      <c r="G122" s="4" t="n">
        <v>90.7184</v>
      </c>
    </row>
    <row r="123" customFormat="false" ht="13.8" hidden="false" customHeight="false" outlineLevel="0" collapsed="false">
      <c r="A123" s="1" t="n">
        <v>1584</v>
      </c>
      <c r="B123" s="2" t="n">
        <v>732.6</v>
      </c>
      <c r="C123" s="1" t="n">
        <v>0.2</v>
      </c>
      <c r="D123" s="1" t="n">
        <v>10</v>
      </c>
      <c r="E123" s="1" t="n">
        <f aca="false">D123*C123</f>
        <v>2</v>
      </c>
      <c r="F123" s="3" t="n">
        <v>0.2041164</v>
      </c>
      <c r="G123" s="4" t="n">
        <v>102.0582</v>
      </c>
    </row>
    <row r="124" customFormat="false" ht="13.8" hidden="false" customHeight="false" outlineLevel="0" collapsed="false">
      <c r="A124" s="1" t="n">
        <v>1588</v>
      </c>
      <c r="B124" s="2" t="n">
        <v>766</v>
      </c>
      <c r="C124" s="1" t="n">
        <v>0.3</v>
      </c>
      <c r="D124" s="1" t="n">
        <v>10</v>
      </c>
      <c r="E124" s="1" t="n">
        <f aca="false">D124*C124</f>
        <v>3</v>
      </c>
      <c r="F124" s="3" t="n">
        <v>0.22226008</v>
      </c>
      <c r="G124" s="4" t="n">
        <v>74.0866933333333</v>
      </c>
    </row>
    <row r="125" customFormat="false" ht="13.8" hidden="false" customHeight="false" outlineLevel="0" collapsed="false">
      <c r="A125" s="1" t="n">
        <v>1592</v>
      </c>
      <c r="B125" s="2" t="n">
        <v>804.51</v>
      </c>
      <c r="C125" s="1" t="n">
        <v>0.3</v>
      </c>
      <c r="D125" s="1" t="n">
        <v>10</v>
      </c>
      <c r="E125" s="1" t="n">
        <f aca="false">D125*C125</f>
        <v>3</v>
      </c>
      <c r="F125" s="3" t="n">
        <v>0.24493968</v>
      </c>
      <c r="G125" s="4" t="n">
        <v>81.64656</v>
      </c>
    </row>
    <row r="126" customFormat="false" ht="13.8" hidden="false" customHeight="false" outlineLevel="0" collapsed="false">
      <c r="A126" s="1" t="n">
        <v>1596</v>
      </c>
      <c r="B126" s="2" t="n">
        <v>835.96</v>
      </c>
      <c r="C126" s="1" t="n">
        <v>0.4</v>
      </c>
      <c r="D126" s="1" t="n">
        <v>10</v>
      </c>
      <c r="E126" s="1" t="n">
        <f aca="false">D126*C126</f>
        <v>4</v>
      </c>
      <c r="F126" s="3" t="n">
        <v>0.26308336</v>
      </c>
      <c r="G126" s="4" t="n">
        <v>65.77084</v>
      </c>
    </row>
    <row r="127" customFormat="false" ht="13.8" hidden="false" customHeight="false" outlineLevel="0" collapsed="false">
      <c r="A127" s="1" t="n">
        <v>1600</v>
      </c>
      <c r="B127" s="2" t="n">
        <v>872.57</v>
      </c>
      <c r="C127" s="1" t="n">
        <v>0.4</v>
      </c>
      <c r="D127" s="1" t="n">
        <v>10</v>
      </c>
      <c r="E127" s="1" t="n">
        <f aca="false">D127*C127</f>
        <v>4</v>
      </c>
      <c r="F127" s="3" t="n">
        <v>0.29029888</v>
      </c>
      <c r="G127" s="4" t="n">
        <v>72.57472</v>
      </c>
    </row>
    <row r="128" customFormat="false" ht="13.8" hidden="false" customHeight="false" outlineLevel="0" collapsed="false">
      <c r="A128" s="1" t="n">
        <v>1604</v>
      </c>
      <c r="B128" s="2" t="n">
        <v>905.53</v>
      </c>
      <c r="C128" s="1" t="n">
        <v>0.47</v>
      </c>
      <c r="D128" s="1" t="n">
        <v>10</v>
      </c>
      <c r="E128" s="1" t="n">
        <f aca="false">D128*C128</f>
        <v>4.7</v>
      </c>
      <c r="F128" s="3" t="n">
        <v>0.31297848</v>
      </c>
      <c r="G128" s="4" t="n">
        <v>66.5911659574468</v>
      </c>
    </row>
    <row r="129" customFormat="false" ht="13.8" hidden="false" customHeight="false" outlineLevel="0" collapsed="false">
      <c r="A129" s="1" t="n">
        <v>1608</v>
      </c>
      <c r="B129" s="2" t="n">
        <v>937.84</v>
      </c>
      <c r="C129" s="1" t="n">
        <v>0.5</v>
      </c>
      <c r="D129" s="1" t="n">
        <v>10</v>
      </c>
      <c r="E129" s="1" t="n">
        <f aca="false">D129*C129</f>
        <v>5</v>
      </c>
      <c r="F129" s="3" t="n">
        <v>0.33565808</v>
      </c>
      <c r="G129" s="4" t="n">
        <v>67.131616</v>
      </c>
    </row>
    <row r="130" customFormat="false" ht="13.8" hidden="false" customHeight="false" outlineLevel="0" collapsed="false">
      <c r="A130" s="1" t="n">
        <v>1612</v>
      </c>
      <c r="B130" s="2" t="n">
        <v>974.06</v>
      </c>
      <c r="C130" s="1" t="n">
        <v>0.5</v>
      </c>
      <c r="D130" s="1" t="n">
        <v>10</v>
      </c>
      <c r="E130" s="1" t="n">
        <f aca="false">D130*C130</f>
        <v>5</v>
      </c>
      <c r="F130" s="3" t="n">
        <v>0.3628736</v>
      </c>
      <c r="G130" s="4" t="n">
        <v>72.57472</v>
      </c>
    </row>
    <row r="131" customFormat="false" ht="13.8" hidden="false" customHeight="false" outlineLevel="0" collapsed="false">
      <c r="A131" s="1" t="n">
        <v>1616</v>
      </c>
      <c r="B131" s="2" t="n">
        <v>1006.56</v>
      </c>
      <c r="C131" s="1" t="n">
        <v>0.6</v>
      </c>
      <c r="D131" s="1" t="n">
        <v>10</v>
      </c>
      <c r="E131" s="1" t="n">
        <f aca="false">D131*C131</f>
        <v>6</v>
      </c>
      <c r="F131" s="3" t="n">
        <v>0.3855532</v>
      </c>
      <c r="G131" s="4" t="n">
        <v>64.2588666666667</v>
      </c>
    </row>
    <row r="132" customFormat="false" ht="13.8" hidden="false" customHeight="false" outlineLevel="0" collapsed="false">
      <c r="A132" s="1" t="n">
        <v>1620</v>
      </c>
      <c r="B132" s="2" t="n">
        <v>1035.16</v>
      </c>
      <c r="C132" s="1" t="n">
        <v>0.7</v>
      </c>
      <c r="D132" s="1" t="n">
        <v>10</v>
      </c>
      <c r="E132" s="1" t="n">
        <f aca="false">D132*C132</f>
        <v>7</v>
      </c>
      <c r="F132" s="3" t="n">
        <v>0.41276872</v>
      </c>
      <c r="G132" s="4" t="n">
        <v>58.96696</v>
      </c>
    </row>
    <row r="133" customFormat="false" ht="13.8" hidden="false" customHeight="false" outlineLevel="0" collapsed="false">
      <c r="A133" s="1" t="n">
        <v>1624</v>
      </c>
      <c r="B133" s="2" t="n">
        <v>1066.46</v>
      </c>
      <c r="C133" s="1" t="n">
        <v>0.7</v>
      </c>
      <c r="D133" s="1" t="n">
        <v>10</v>
      </c>
      <c r="E133" s="1" t="n">
        <f aca="false">D133*C133</f>
        <v>7</v>
      </c>
      <c r="F133" s="3" t="n">
        <v>0.44452016</v>
      </c>
      <c r="G133" s="4" t="n">
        <v>63.50288</v>
      </c>
    </row>
    <row r="134" customFormat="false" ht="13.8" hidden="false" customHeight="false" outlineLevel="0" collapsed="false">
      <c r="A134" s="1" t="n">
        <v>1628</v>
      </c>
      <c r="B134" s="2" t="n">
        <v>1100.71</v>
      </c>
      <c r="C134" s="1" t="n">
        <v>0.8</v>
      </c>
      <c r="D134" s="1" t="n">
        <v>10</v>
      </c>
      <c r="E134" s="1" t="n">
        <f aca="false">D134*C134</f>
        <v>8</v>
      </c>
      <c r="F134" s="3" t="n">
        <v>0.46719976</v>
      </c>
      <c r="G134" s="4" t="n">
        <v>58.39997</v>
      </c>
    </row>
    <row r="135" customFormat="false" ht="13.8" hidden="false" customHeight="false" outlineLevel="0" collapsed="false">
      <c r="A135" s="1" t="n">
        <v>1632</v>
      </c>
      <c r="B135" s="2" t="n">
        <v>1128.87</v>
      </c>
      <c r="C135" s="1" t="n">
        <v>0.83</v>
      </c>
      <c r="D135" s="1" t="n">
        <v>10</v>
      </c>
      <c r="E135" s="1" t="n">
        <f aca="false">D135*C135</f>
        <v>8.3</v>
      </c>
      <c r="F135" s="3" t="n">
        <v>0.49441528</v>
      </c>
      <c r="G135" s="4" t="n">
        <v>59.5681060240964</v>
      </c>
    </row>
    <row r="136" customFormat="false" ht="13.8" hidden="false" customHeight="false" outlineLevel="0" collapsed="false">
      <c r="A136" s="1" t="n">
        <v>1636</v>
      </c>
      <c r="B136" s="2" t="n">
        <v>1159.42</v>
      </c>
      <c r="C136" s="1" t="n">
        <v>0.94</v>
      </c>
      <c r="D136" s="1" t="n">
        <v>10</v>
      </c>
      <c r="E136" s="1" t="n">
        <f aca="false">D136*C136</f>
        <v>9.4</v>
      </c>
      <c r="F136" s="3" t="n">
        <v>0.5216308</v>
      </c>
      <c r="G136" s="4" t="n">
        <v>55.4926382978723</v>
      </c>
    </row>
    <row r="137" customFormat="false" ht="13.8" hidden="false" customHeight="false" outlineLevel="0" collapsed="false">
      <c r="A137" s="1" t="n">
        <v>1640</v>
      </c>
      <c r="B137" s="2" t="n">
        <v>1187.81</v>
      </c>
      <c r="C137" s="1" t="n">
        <v>1</v>
      </c>
      <c r="D137" s="1" t="n">
        <v>10</v>
      </c>
      <c r="E137" s="1" t="n">
        <f aca="false">D137*C137</f>
        <v>10</v>
      </c>
      <c r="F137" s="3" t="n">
        <v>0.54884632</v>
      </c>
      <c r="G137" s="4" t="n">
        <v>54.884632</v>
      </c>
    </row>
    <row r="138" customFormat="false" ht="13.8" hidden="false" customHeight="false" outlineLevel="0" collapsed="false">
      <c r="A138" s="1" t="n">
        <v>1644</v>
      </c>
      <c r="B138" s="2" t="n">
        <v>1219.22</v>
      </c>
      <c r="C138" s="1" t="n">
        <v>1.1</v>
      </c>
      <c r="D138" s="1" t="n">
        <v>10</v>
      </c>
      <c r="E138" s="1" t="n">
        <f aca="false">D138*C138</f>
        <v>11</v>
      </c>
      <c r="F138" s="3" t="n">
        <v>0.58059776</v>
      </c>
      <c r="G138" s="4" t="n">
        <v>52.7816145454545</v>
      </c>
    </row>
    <row r="139" customFormat="false" ht="13.8" hidden="false" customHeight="false" outlineLevel="0" collapsed="false">
      <c r="A139" s="1" t="n">
        <v>1648</v>
      </c>
      <c r="B139" s="2" t="n">
        <v>1250.46</v>
      </c>
      <c r="C139" s="1" t="n">
        <v>1.2</v>
      </c>
      <c r="D139" s="1" t="n">
        <v>10</v>
      </c>
      <c r="E139" s="1" t="n">
        <f aca="false">D139*C139</f>
        <v>12</v>
      </c>
      <c r="F139" s="3" t="n">
        <v>0.60781328</v>
      </c>
      <c r="G139" s="4" t="n">
        <v>50.6511066666667</v>
      </c>
    </row>
    <row r="140" customFormat="false" ht="13.8" hidden="false" customHeight="false" outlineLevel="0" collapsed="false">
      <c r="A140" s="1" t="n">
        <v>1652</v>
      </c>
      <c r="B140" s="2" t="n">
        <v>1278.23</v>
      </c>
      <c r="C140" s="1" t="n">
        <v>1.3</v>
      </c>
      <c r="D140" s="1" t="n">
        <v>10</v>
      </c>
      <c r="E140" s="1" t="n">
        <f aca="false">D140*C140</f>
        <v>13</v>
      </c>
      <c r="F140" s="3" t="n">
        <v>0.63956472</v>
      </c>
      <c r="G140" s="4" t="n">
        <v>49.1972861538462</v>
      </c>
    </row>
    <row r="141" customFormat="false" ht="13.8" hidden="false" customHeight="false" outlineLevel="0" collapsed="false">
      <c r="A141" s="1" t="n">
        <v>1656</v>
      </c>
      <c r="B141" s="2" t="n">
        <v>1303.26</v>
      </c>
      <c r="C141" s="1" t="n">
        <v>1.4</v>
      </c>
      <c r="D141" s="1" t="n">
        <v>10</v>
      </c>
      <c r="E141" s="1" t="n">
        <f aca="false">D141*C141</f>
        <v>14</v>
      </c>
      <c r="F141" s="3" t="n">
        <v>0.68492392</v>
      </c>
      <c r="G141" s="4" t="n">
        <v>48.9231371428571</v>
      </c>
    </row>
    <row r="142" customFormat="false" ht="13.8" hidden="false" customHeight="false" outlineLevel="0" collapsed="false">
      <c r="A142" s="1" t="n">
        <v>1660</v>
      </c>
      <c r="B142" s="2" t="n">
        <v>1330.15</v>
      </c>
      <c r="C142" s="1" t="n">
        <v>1.5</v>
      </c>
      <c r="D142" s="1" t="n">
        <v>10</v>
      </c>
      <c r="E142" s="1" t="n">
        <f aca="false">D142*C142</f>
        <v>15</v>
      </c>
      <c r="F142" s="3" t="n">
        <v>0.7030676</v>
      </c>
      <c r="G142" s="4" t="n">
        <v>46.8711733333333</v>
      </c>
    </row>
    <row r="143" customFormat="false" ht="13.8" hidden="false" customHeight="false" outlineLevel="0" collapsed="false">
      <c r="A143" s="1" t="n">
        <v>1664</v>
      </c>
      <c r="B143" s="2" t="n">
        <v>1362.78</v>
      </c>
      <c r="C143" s="1" t="n">
        <v>1.5</v>
      </c>
      <c r="D143" s="1" t="n">
        <v>10</v>
      </c>
      <c r="E143" s="1" t="n">
        <f aca="false">D143*C143</f>
        <v>15</v>
      </c>
      <c r="F143" s="3" t="n">
        <v>0.7257472</v>
      </c>
      <c r="G143" s="4" t="n">
        <v>48.3831466666667</v>
      </c>
    </row>
    <row r="144" customFormat="false" ht="13.8" hidden="false" customHeight="false" outlineLevel="0" collapsed="false">
      <c r="A144" s="1" t="n">
        <v>1668</v>
      </c>
      <c r="B144" s="2" t="n">
        <v>1391.56</v>
      </c>
      <c r="C144" s="1" t="n">
        <v>1.6</v>
      </c>
      <c r="D144" s="1" t="n">
        <v>10</v>
      </c>
      <c r="E144" s="1" t="n">
        <f aca="false">D144*C144</f>
        <v>16</v>
      </c>
      <c r="F144" s="3" t="n">
        <v>0.76203456</v>
      </c>
      <c r="G144" s="4" t="n">
        <v>47.62716</v>
      </c>
    </row>
    <row r="145" customFormat="false" ht="13.8" hidden="false" customHeight="false" outlineLevel="0" collapsed="false">
      <c r="A145" s="1" t="n">
        <v>1672</v>
      </c>
      <c r="B145" s="2" t="n">
        <v>1417.83</v>
      </c>
      <c r="C145" s="1" t="n">
        <v>1.8</v>
      </c>
      <c r="D145" s="1" t="n">
        <v>10</v>
      </c>
      <c r="E145" s="1" t="n">
        <f aca="false">D145*C145</f>
        <v>18</v>
      </c>
      <c r="F145" s="3" t="n">
        <v>0.79832192</v>
      </c>
      <c r="G145" s="4" t="n">
        <v>44.3512177777778</v>
      </c>
    </row>
    <row r="146" customFormat="false" ht="13.8" hidden="false" customHeight="false" outlineLevel="0" collapsed="false">
      <c r="A146" s="1" t="n">
        <v>1676</v>
      </c>
      <c r="B146" s="2" t="n">
        <v>1445.47</v>
      </c>
      <c r="C146" s="1" t="n">
        <v>1.9</v>
      </c>
      <c r="D146" s="1" t="n">
        <v>10</v>
      </c>
      <c r="E146" s="1" t="n">
        <f aca="false">D146*C146</f>
        <v>19</v>
      </c>
      <c r="F146" s="3" t="n">
        <v>0.82553744</v>
      </c>
      <c r="G146" s="4" t="n">
        <v>43.4493389473684</v>
      </c>
    </row>
    <row r="147" customFormat="false" ht="13.8" hidden="false" customHeight="false" outlineLevel="0" collapsed="false">
      <c r="A147" s="1" t="n">
        <v>1680</v>
      </c>
      <c r="B147" s="2" t="n">
        <v>1473.43</v>
      </c>
      <c r="C147" s="1" t="n">
        <v>2</v>
      </c>
      <c r="D147" s="1" t="n">
        <v>10</v>
      </c>
      <c r="E147" s="1" t="n">
        <f aca="false">D147*C147</f>
        <v>20</v>
      </c>
      <c r="F147" s="3" t="n">
        <v>0.85275296</v>
      </c>
      <c r="G147" s="4" t="n">
        <v>42.637648</v>
      </c>
    </row>
    <row r="148" customFormat="false" ht="13.8" hidden="false" customHeight="false" outlineLevel="0" collapsed="false">
      <c r="A148" s="1" t="n">
        <v>1684</v>
      </c>
      <c r="B148" s="2" t="n">
        <v>1495.93</v>
      </c>
      <c r="C148" s="1" t="n">
        <v>2.1</v>
      </c>
      <c r="D148" s="1" t="n">
        <v>10</v>
      </c>
      <c r="E148" s="1" t="n">
        <f aca="false">D148*C148</f>
        <v>21</v>
      </c>
      <c r="F148" s="3" t="n">
        <v>0.88904032</v>
      </c>
      <c r="G148" s="4" t="n">
        <v>42.3352533333333</v>
      </c>
    </row>
    <row r="149" customFormat="false" ht="13.8" hidden="false" customHeight="false" outlineLevel="0" collapsed="false">
      <c r="A149" s="1" t="n">
        <v>1688</v>
      </c>
      <c r="B149" s="2" t="n">
        <v>1518.95</v>
      </c>
      <c r="C149" s="1" t="n">
        <v>2.2</v>
      </c>
      <c r="D149" s="1" t="n">
        <v>10</v>
      </c>
      <c r="E149" s="1" t="n">
        <f aca="false">D149*C149</f>
        <v>22</v>
      </c>
      <c r="F149" s="3" t="n">
        <v>0.92079176</v>
      </c>
      <c r="G149" s="4" t="n">
        <v>41.8541709090909</v>
      </c>
    </row>
    <row r="150" customFormat="false" ht="13.8" hidden="false" customHeight="false" outlineLevel="0" collapsed="false">
      <c r="A150" s="1" t="n">
        <v>1692</v>
      </c>
      <c r="B150" s="2" t="n">
        <v>1541.94</v>
      </c>
      <c r="C150" s="1" t="n">
        <v>2.3</v>
      </c>
      <c r="D150" s="1" t="n">
        <v>10</v>
      </c>
      <c r="E150" s="1" t="n">
        <f aca="false">D150*C150</f>
        <v>23</v>
      </c>
      <c r="F150" s="3" t="n">
        <v>0.94800728</v>
      </c>
      <c r="G150" s="4" t="n">
        <v>41.217707826087</v>
      </c>
    </row>
    <row r="151" customFormat="false" ht="13.8" hidden="false" customHeight="false" outlineLevel="0" collapsed="false">
      <c r="A151" s="1" t="n">
        <v>1696</v>
      </c>
      <c r="B151" s="2" t="n">
        <v>1570.74</v>
      </c>
      <c r="C151" s="1" t="n">
        <v>2.43</v>
      </c>
      <c r="D151" s="1" t="n">
        <v>10</v>
      </c>
      <c r="E151" s="1" t="n">
        <f aca="false">D151*C151</f>
        <v>24.3</v>
      </c>
      <c r="F151" s="3" t="n">
        <v>0.9752228</v>
      </c>
      <c r="G151" s="4" t="n">
        <v>40.1326255144033</v>
      </c>
    </row>
    <row r="152" customFormat="false" ht="13.8" hidden="false" customHeight="false" outlineLevel="0" collapsed="false">
      <c r="A152" s="1" t="n">
        <v>1700</v>
      </c>
      <c r="B152" s="2" t="n">
        <v>1596</v>
      </c>
      <c r="C152" s="1" t="n">
        <v>2.7</v>
      </c>
      <c r="D152" s="1" t="n">
        <v>10</v>
      </c>
      <c r="E152" s="1" t="n">
        <f aca="false">D152*C152</f>
        <v>27</v>
      </c>
      <c r="F152" s="3" t="n">
        <v>0.97068688</v>
      </c>
      <c r="G152" s="4" t="n">
        <v>35.9513659259259</v>
      </c>
    </row>
    <row r="153" customFormat="false" ht="13.8" hidden="false" customHeight="false" outlineLevel="0" collapsed="false">
      <c r="A153" s="1" t="n">
        <v>1704</v>
      </c>
      <c r="B153" s="2" t="n">
        <v>1621.63</v>
      </c>
      <c r="C153" s="1" t="n">
        <v>2.8</v>
      </c>
      <c r="D153" s="1" t="n">
        <v>10</v>
      </c>
      <c r="E153" s="1" t="n">
        <f aca="false">D153*C153</f>
        <v>28</v>
      </c>
      <c r="F153" s="3" t="n">
        <v>1.04779752</v>
      </c>
      <c r="G153" s="4" t="n">
        <v>37.42134</v>
      </c>
    </row>
    <row r="154" customFormat="false" ht="13.8" hidden="false" customHeight="false" outlineLevel="0" collapsed="false">
      <c r="A154" s="1" t="n">
        <v>1708</v>
      </c>
      <c r="B154" s="2" t="n">
        <v>1650.43</v>
      </c>
      <c r="C154" s="1" t="n">
        <v>2.9</v>
      </c>
      <c r="D154" s="1" t="n">
        <v>10</v>
      </c>
      <c r="E154" s="1" t="n">
        <f aca="false">D154*C154</f>
        <v>29</v>
      </c>
      <c r="F154" s="3" t="n">
        <v>1.07501304</v>
      </c>
      <c r="G154" s="4" t="n">
        <v>37.0694151724138</v>
      </c>
    </row>
    <row r="155" customFormat="false" ht="13.8" hidden="false" customHeight="false" outlineLevel="0" collapsed="false">
      <c r="A155" s="1" t="n">
        <v>1712</v>
      </c>
      <c r="B155" s="2" t="n">
        <v>1673.75</v>
      </c>
      <c r="C155" s="1" t="n">
        <v>3.1</v>
      </c>
      <c r="D155" s="1" t="n">
        <v>10</v>
      </c>
      <c r="E155" s="1" t="n">
        <f aca="false">D155*C155</f>
        <v>31</v>
      </c>
      <c r="F155" s="3" t="n">
        <v>1.1113004</v>
      </c>
      <c r="G155" s="4" t="n">
        <v>35.8484</v>
      </c>
    </row>
    <row r="156" customFormat="false" ht="13.8" hidden="false" customHeight="false" outlineLevel="0" collapsed="false">
      <c r="A156" s="1" t="n">
        <v>1716</v>
      </c>
      <c r="B156" s="2" t="n">
        <v>1695.56</v>
      </c>
      <c r="C156" s="1" t="n">
        <v>3.3</v>
      </c>
      <c r="D156" s="1" t="n">
        <v>10</v>
      </c>
      <c r="E156" s="1" t="n">
        <f aca="false">D156*C156</f>
        <v>33</v>
      </c>
      <c r="F156" s="3" t="n">
        <v>1.16573144</v>
      </c>
      <c r="G156" s="4" t="n">
        <v>35.3251951515151</v>
      </c>
    </row>
    <row r="157" customFormat="false" ht="13.8" hidden="false" customHeight="false" outlineLevel="0" collapsed="false">
      <c r="A157" s="1" t="n">
        <v>1720</v>
      </c>
      <c r="B157" s="2" t="n">
        <v>1720.07</v>
      </c>
      <c r="C157" s="1" t="n">
        <v>3.4</v>
      </c>
      <c r="D157" s="1" t="n">
        <v>10</v>
      </c>
      <c r="E157" s="1" t="n">
        <f aca="false">D157*C157</f>
        <v>34</v>
      </c>
      <c r="F157" s="3" t="n">
        <v>1.18387512</v>
      </c>
      <c r="G157" s="4" t="n">
        <v>34.8198564705882</v>
      </c>
    </row>
    <row r="158" customFormat="false" ht="13.8" hidden="false" customHeight="false" outlineLevel="0" collapsed="false">
      <c r="A158" s="1" t="n">
        <v>1724</v>
      </c>
      <c r="B158" s="2" t="n">
        <v>1747.39</v>
      </c>
      <c r="C158" s="1" t="n">
        <v>3.5</v>
      </c>
      <c r="D158" s="1" t="n">
        <v>10</v>
      </c>
      <c r="E158" s="1" t="n">
        <f aca="false">D158*C158</f>
        <v>35</v>
      </c>
      <c r="F158" s="3" t="n">
        <v>1.20655472</v>
      </c>
      <c r="G158" s="4" t="n">
        <v>34.472992</v>
      </c>
    </row>
    <row r="159" customFormat="false" ht="13.8" hidden="false" customHeight="false" outlineLevel="0" collapsed="false">
      <c r="A159" s="1" t="n">
        <v>1728</v>
      </c>
      <c r="B159" s="2" t="n">
        <v>1764.86</v>
      </c>
      <c r="C159" s="1" t="n">
        <v>3.7</v>
      </c>
      <c r="D159" s="1" t="n">
        <v>10</v>
      </c>
      <c r="E159" s="1" t="n">
        <f aca="false">D159*C159</f>
        <v>37</v>
      </c>
      <c r="F159" s="3" t="n">
        <v>1.23830616</v>
      </c>
      <c r="G159" s="4" t="n">
        <v>33.467734054054</v>
      </c>
    </row>
    <row r="160" customFormat="false" ht="13.8" hidden="false" customHeight="false" outlineLevel="0" collapsed="false">
      <c r="A160" s="1" t="n">
        <v>1732</v>
      </c>
      <c r="B160" s="2" t="n">
        <v>1793.13</v>
      </c>
      <c r="C160" s="1" t="n">
        <v>3.84</v>
      </c>
      <c r="D160" s="1" t="n">
        <v>10</v>
      </c>
      <c r="E160" s="1" t="n">
        <f aca="false">D160*C160</f>
        <v>38.4</v>
      </c>
      <c r="F160" s="3" t="n">
        <v>1.27459352</v>
      </c>
      <c r="G160" s="4" t="n">
        <v>33.1925395833333</v>
      </c>
    </row>
    <row r="161" customFormat="false" ht="13.8" hidden="false" customHeight="false" outlineLevel="0" collapsed="false">
      <c r="A161" s="1" t="n">
        <v>1736</v>
      </c>
      <c r="B161" s="2" t="n">
        <v>1818.93</v>
      </c>
      <c r="C161" s="1" t="n">
        <v>4</v>
      </c>
      <c r="D161" s="1" t="n">
        <v>10</v>
      </c>
      <c r="E161" s="1" t="n">
        <f aca="false">D161*C161</f>
        <v>40</v>
      </c>
      <c r="F161" s="3" t="n">
        <v>1.31088088</v>
      </c>
      <c r="G161" s="4" t="n">
        <v>32.772022</v>
      </c>
    </row>
    <row r="162" customFormat="false" ht="13.8" hidden="false" customHeight="false" outlineLevel="0" collapsed="false">
      <c r="A162" s="1" t="n">
        <v>1740</v>
      </c>
      <c r="B162" s="2" t="n">
        <v>1833.08</v>
      </c>
      <c r="C162" s="1" t="n">
        <v>4.2</v>
      </c>
      <c r="D162" s="1" t="n">
        <v>10</v>
      </c>
      <c r="E162" s="1" t="n">
        <f aca="false">D162*C162</f>
        <v>42</v>
      </c>
      <c r="F162" s="3" t="n">
        <v>1.35624008</v>
      </c>
      <c r="G162" s="4" t="n">
        <v>32.2914304761905</v>
      </c>
    </row>
    <row r="163" customFormat="false" ht="13.8" hidden="false" customHeight="false" outlineLevel="0" collapsed="false">
      <c r="A163" s="1" t="n">
        <v>1744</v>
      </c>
      <c r="B163" s="2" t="n">
        <v>1860.28</v>
      </c>
      <c r="C163" s="1" t="n">
        <v>4.4</v>
      </c>
      <c r="D163" s="1" t="n">
        <v>10</v>
      </c>
      <c r="E163" s="1" t="n">
        <f aca="false">D163*C163</f>
        <v>44</v>
      </c>
      <c r="F163" s="3" t="n">
        <v>1.41067112</v>
      </c>
      <c r="G163" s="4" t="n">
        <v>32.0607072727273</v>
      </c>
    </row>
    <row r="164" customFormat="false" ht="13.8" hidden="false" customHeight="false" outlineLevel="0" collapsed="false">
      <c r="A164" s="1" t="n">
        <v>1748</v>
      </c>
      <c r="B164" s="2" t="n">
        <v>1889.11</v>
      </c>
      <c r="C164" s="1" t="n">
        <v>4.5</v>
      </c>
      <c r="D164" s="1" t="n">
        <v>10</v>
      </c>
      <c r="E164" s="1" t="n">
        <f aca="false">D164*C164</f>
        <v>45</v>
      </c>
      <c r="F164" s="3" t="n">
        <v>1.4288148</v>
      </c>
      <c r="G164" s="4" t="n">
        <v>31.75144</v>
      </c>
    </row>
    <row r="165" customFormat="false" ht="13.8" hidden="false" customHeight="false" outlineLevel="0" collapsed="false">
      <c r="A165" s="1" t="n">
        <v>1752</v>
      </c>
      <c r="B165" s="2" t="n">
        <v>1910.68</v>
      </c>
      <c r="C165" s="1" t="n">
        <v>4.7</v>
      </c>
      <c r="D165" s="1" t="n">
        <v>10</v>
      </c>
      <c r="E165" s="1" t="n">
        <f aca="false">D165*C165</f>
        <v>47</v>
      </c>
      <c r="F165" s="3" t="n">
        <v>1.47870992</v>
      </c>
      <c r="G165" s="4" t="n">
        <v>31.4619131914894</v>
      </c>
    </row>
    <row r="166" customFormat="false" ht="13.8" hidden="false" customHeight="false" outlineLevel="0" collapsed="false">
      <c r="A166" s="1" t="n">
        <v>1756</v>
      </c>
      <c r="B166" s="2" t="n">
        <v>1933.17</v>
      </c>
      <c r="C166" s="1" t="n">
        <v>4.9</v>
      </c>
      <c r="D166" s="1" t="n">
        <v>10</v>
      </c>
      <c r="E166" s="1" t="n">
        <f aca="false">D166*C166</f>
        <v>49</v>
      </c>
      <c r="F166" s="3" t="n">
        <v>1.52406912</v>
      </c>
      <c r="G166" s="4" t="n">
        <v>31.1034514285714</v>
      </c>
    </row>
    <row r="167" customFormat="false" ht="13.8" hidden="false" customHeight="false" outlineLevel="0" collapsed="false">
      <c r="A167" s="1" t="n">
        <v>1760</v>
      </c>
      <c r="B167" s="2" t="n">
        <v>1961.66</v>
      </c>
      <c r="C167" s="1" t="n">
        <v>5.1</v>
      </c>
      <c r="D167" s="1" t="n">
        <v>10</v>
      </c>
      <c r="E167" s="1" t="n">
        <f aca="false">D167*C167</f>
        <v>51</v>
      </c>
      <c r="F167" s="3" t="n">
        <v>1.54674872</v>
      </c>
      <c r="G167" s="4" t="n">
        <v>30.3284062745098</v>
      </c>
    </row>
    <row r="168" customFormat="false" ht="13.8" hidden="false" customHeight="false" outlineLevel="0" collapsed="false">
      <c r="A168" s="1" t="n">
        <v>1764</v>
      </c>
      <c r="B168" s="2" t="n">
        <v>1983.53</v>
      </c>
      <c r="C168" s="1" t="n">
        <v>5.3</v>
      </c>
      <c r="D168" s="1" t="n">
        <v>10</v>
      </c>
      <c r="E168" s="1" t="n">
        <f aca="false">D168*C168</f>
        <v>53</v>
      </c>
      <c r="F168" s="3" t="n">
        <v>1.57850016</v>
      </c>
      <c r="G168" s="4" t="n">
        <v>29.7830218867925</v>
      </c>
    </row>
    <row r="169" customFormat="false" ht="13.8" hidden="false" customHeight="false" outlineLevel="0" collapsed="false">
      <c r="A169" s="1" t="n">
        <v>1768</v>
      </c>
      <c r="B169" s="2" t="n">
        <v>2004.48</v>
      </c>
      <c r="C169" s="1" t="n">
        <v>5.5</v>
      </c>
      <c r="D169" s="1" t="n">
        <v>10</v>
      </c>
      <c r="E169" s="1" t="n">
        <f aca="false">D169*C169</f>
        <v>55</v>
      </c>
      <c r="F169" s="3" t="n">
        <v>1.62385936</v>
      </c>
      <c r="G169" s="4" t="n">
        <v>29.5247156363636</v>
      </c>
    </row>
    <row r="170" customFormat="false" ht="13.8" hidden="false" customHeight="false" outlineLevel="0" collapsed="false">
      <c r="A170" s="1" t="n">
        <v>1772</v>
      </c>
      <c r="B170" s="2" t="n">
        <v>2026.86</v>
      </c>
      <c r="C170" s="1" t="n">
        <v>5.7</v>
      </c>
      <c r="D170" s="1" t="n">
        <v>10</v>
      </c>
      <c r="E170" s="1" t="n">
        <f aca="false">D170*C170</f>
        <v>57</v>
      </c>
      <c r="F170" s="3" t="n">
        <v>1.6556108</v>
      </c>
      <c r="G170" s="4" t="n">
        <v>29.0458035087719</v>
      </c>
    </row>
    <row r="171" customFormat="false" ht="13.8" hidden="false" customHeight="false" outlineLevel="0" collapsed="false">
      <c r="A171" s="1" t="n">
        <v>1776</v>
      </c>
      <c r="B171" s="2" t="n">
        <v>2052.48</v>
      </c>
      <c r="C171" s="1" t="n">
        <v>5.9</v>
      </c>
      <c r="D171" s="1" t="n">
        <v>10</v>
      </c>
      <c r="E171" s="1" t="n">
        <f aca="false">D171*C171</f>
        <v>59</v>
      </c>
      <c r="F171" s="3" t="n">
        <v>1.69189816</v>
      </c>
      <c r="G171" s="4" t="n">
        <v>28.67624</v>
      </c>
    </row>
    <row r="172" customFormat="false" ht="13.8" hidden="false" customHeight="false" outlineLevel="0" collapsed="false">
      <c r="A172" s="1" t="n">
        <v>1780</v>
      </c>
      <c r="B172" s="2" t="n">
        <v>2075.09</v>
      </c>
      <c r="C172" s="1" t="n">
        <v>6.09</v>
      </c>
      <c r="D172" s="1" t="n">
        <v>10</v>
      </c>
      <c r="E172" s="1" t="n">
        <f aca="false">D172*C172</f>
        <v>60.9</v>
      </c>
      <c r="F172" s="3" t="n">
        <v>1.72818552</v>
      </c>
      <c r="G172" s="4" t="n">
        <v>28.3774305418719</v>
      </c>
    </row>
    <row r="173" customFormat="false" ht="13.8" hidden="false" customHeight="false" outlineLevel="0" collapsed="false">
      <c r="A173" s="1" t="n">
        <v>1784</v>
      </c>
      <c r="B173" s="2" t="n">
        <v>2092.78</v>
      </c>
      <c r="C173" s="1" t="n">
        <v>6.3</v>
      </c>
      <c r="D173" s="1" t="n">
        <v>10</v>
      </c>
      <c r="E173" s="1" t="n">
        <f aca="false">D173*C173</f>
        <v>63</v>
      </c>
      <c r="F173" s="3" t="n">
        <v>1.77354472</v>
      </c>
      <c r="G173" s="4" t="n">
        <v>28.1515034920635</v>
      </c>
    </row>
    <row r="174" customFormat="false" ht="13.8" hidden="false" customHeight="false" outlineLevel="0" collapsed="false">
      <c r="A174" s="1" t="n">
        <v>1788</v>
      </c>
      <c r="B174" s="2" t="n">
        <v>2118.09</v>
      </c>
      <c r="C174" s="1" t="n">
        <v>6.5</v>
      </c>
      <c r="D174" s="1" t="n">
        <v>10</v>
      </c>
      <c r="E174" s="1" t="n">
        <f aca="false">D174*C174</f>
        <v>65</v>
      </c>
      <c r="F174" s="3" t="n">
        <v>1.80076024</v>
      </c>
      <c r="G174" s="4" t="n">
        <v>27.7040036923077</v>
      </c>
    </row>
    <row r="175" customFormat="false" ht="13.8" hidden="false" customHeight="false" outlineLevel="0" collapsed="false">
      <c r="A175" s="1" t="n">
        <v>1792</v>
      </c>
      <c r="B175" s="2" t="n">
        <v>2139.65</v>
      </c>
      <c r="C175" s="1" t="n">
        <v>6.73</v>
      </c>
      <c r="D175" s="1" t="n">
        <v>10</v>
      </c>
      <c r="E175" s="1" t="n">
        <f aca="false">D175*C175</f>
        <v>67.3</v>
      </c>
      <c r="F175" s="3" t="n">
        <v>1.84611944</v>
      </c>
      <c r="G175" s="4" t="n">
        <v>27.4311952451709</v>
      </c>
    </row>
    <row r="176" customFormat="false" ht="13.8" hidden="false" customHeight="false" outlineLevel="0" collapsed="false">
      <c r="A176" s="1" t="n">
        <v>1796</v>
      </c>
      <c r="B176" s="2" t="n">
        <v>2160.17</v>
      </c>
      <c r="C176" s="1" t="n">
        <v>6.9</v>
      </c>
      <c r="D176" s="1" t="n">
        <v>10</v>
      </c>
      <c r="E176" s="1" t="n">
        <f aca="false">D176*C176</f>
        <v>69</v>
      </c>
      <c r="F176" s="3" t="n">
        <v>1.87787088</v>
      </c>
      <c r="G176" s="4" t="n">
        <v>27.21552</v>
      </c>
    </row>
    <row r="177" customFormat="false" ht="13.8" hidden="false" customHeight="false" outlineLevel="0" collapsed="false">
      <c r="A177" s="1" t="n">
        <v>1800</v>
      </c>
      <c r="B177" s="2" t="n">
        <v>2178.68</v>
      </c>
      <c r="C177" s="1" t="n">
        <v>7.13</v>
      </c>
      <c r="D177" s="1" t="n">
        <v>10</v>
      </c>
      <c r="E177" s="1" t="n">
        <f aca="false">D177*C177</f>
        <v>71.3</v>
      </c>
      <c r="F177" s="3" t="n">
        <v>1.91415824</v>
      </c>
      <c r="G177" s="4" t="n">
        <v>26.8465391304348</v>
      </c>
    </row>
    <row r="178" customFormat="false" ht="13.8" hidden="false" customHeight="false" outlineLevel="0" collapsed="false">
      <c r="A178" s="1" t="n">
        <v>1804</v>
      </c>
      <c r="B178" s="2" t="n">
        <v>2199.9</v>
      </c>
      <c r="C178" s="1" t="n">
        <v>7.4</v>
      </c>
      <c r="D178" s="1" t="n">
        <v>10</v>
      </c>
      <c r="E178" s="1" t="n">
        <f aca="false">D178*C178</f>
        <v>74</v>
      </c>
      <c r="F178" s="3" t="n">
        <v>1.99126888</v>
      </c>
      <c r="G178" s="4" t="n">
        <v>26.9090389189189</v>
      </c>
    </row>
    <row r="179" customFormat="false" ht="13.8" hidden="false" customHeight="false" outlineLevel="0" collapsed="false">
      <c r="A179" s="1" t="n">
        <v>1808</v>
      </c>
      <c r="B179" s="2" t="n">
        <v>2225.32</v>
      </c>
      <c r="C179" s="1" t="n">
        <v>7.6</v>
      </c>
      <c r="D179" s="1" t="n">
        <v>10</v>
      </c>
      <c r="E179" s="1" t="n">
        <f aca="false">D179*C179</f>
        <v>76</v>
      </c>
      <c r="F179" s="3" t="n">
        <v>1.9958048</v>
      </c>
      <c r="G179" s="4" t="n">
        <v>26.2605894736842</v>
      </c>
    </row>
    <row r="180" customFormat="false" ht="13.8" hidden="false" customHeight="false" outlineLevel="0" collapsed="false">
      <c r="A180" s="1" t="n">
        <v>1812</v>
      </c>
      <c r="B180" s="2" t="n">
        <v>2245.42</v>
      </c>
      <c r="C180" s="1" t="n">
        <v>7.9</v>
      </c>
      <c r="D180" s="1" t="n">
        <v>10</v>
      </c>
      <c r="E180" s="1" t="n">
        <f aca="false">D180*C180</f>
        <v>79</v>
      </c>
      <c r="F180" s="3" t="n">
        <v>2.05930768</v>
      </c>
      <c r="G180" s="4" t="n">
        <v>26.0671858227848</v>
      </c>
    </row>
    <row r="181" customFormat="false" ht="13.8" hidden="false" customHeight="false" outlineLevel="0" collapsed="false">
      <c r="A181" s="1" t="n">
        <v>1816</v>
      </c>
      <c r="B181" s="2" t="n">
        <v>2273.47</v>
      </c>
      <c r="C181" s="1" t="n">
        <v>8.1</v>
      </c>
      <c r="D181" s="1" t="n">
        <v>10</v>
      </c>
      <c r="E181" s="1" t="n">
        <f aca="false">D181*C181</f>
        <v>81</v>
      </c>
      <c r="F181" s="3" t="n">
        <v>2.09105912</v>
      </c>
      <c r="G181" s="4" t="n">
        <v>25.815544691358</v>
      </c>
    </row>
    <row r="182" customFormat="false" ht="13.8" hidden="false" customHeight="false" outlineLevel="0" collapsed="false">
      <c r="A182" s="1" t="n">
        <v>1820</v>
      </c>
      <c r="B182" s="2" t="n">
        <v>2293.24</v>
      </c>
      <c r="C182" s="1" t="n">
        <v>8.33</v>
      </c>
      <c r="D182" s="1" t="n">
        <v>10</v>
      </c>
      <c r="E182" s="1" t="n">
        <f aca="false">D182*C182</f>
        <v>83.3</v>
      </c>
      <c r="F182" s="3" t="n">
        <v>2.12281056</v>
      </c>
      <c r="G182" s="4" t="n">
        <v>25.4839202881152</v>
      </c>
    </row>
    <row r="183" customFormat="false" ht="13.8" hidden="false" customHeight="false" outlineLevel="0" collapsed="false">
      <c r="A183" s="1" t="n">
        <v>1824</v>
      </c>
      <c r="B183" s="2" t="n">
        <v>2307.25</v>
      </c>
      <c r="C183" s="1" t="n">
        <v>8.64</v>
      </c>
      <c r="D183" s="1" t="n">
        <v>10</v>
      </c>
      <c r="E183" s="1" t="n">
        <f aca="false">D183*C183</f>
        <v>86.4</v>
      </c>
      <c r="F183" s="3" t="n">
        <v>2.16816976</v>
      </c>
      <c r="G183" s="4" t="n">
        <v>25.0945574074074</v>
      </c>
    </row>
    <row r="184" customFormat="false" ht="13.8" hidden="false" customHeight="false" outlineLevel="0" collapsed="false">
      <c r="A184" s="1" t="n">
        <v>1828</v>
      </c>
      <c r="B184" s="2" t="n">
        <v>2332.74</v>
      </c>
      <c r="C184" s="1" t="n">
        <v>8.89</v>
      </c>
      <c r="D184" s="1" t="n">
        <v>10</v>
      </c>
      <c r="E184" s="1" t="n">
        <f aca="false">D184*C184</f>
        <v>88.9</v>
      </c>
      <c r="F184" s="3" t="n">
        <v>2.21352896</v>
      </c>
      <c r="G184" s="4" t="n">
        <v>24.8990884139483</v>
      </c>
    </row>
    <row r="185" customFormat="false" ht="13.8" hidden="false" customHeight="false" outlineLevel="0" collapsed="false">
      <c r="A185" s="1" t="n">
        <v>1832</v>
      </c>
      <c r="B185" s="2" t="n">
        <v>2353</v>
      </c>
      <c r="C185" s="1" t="n">
        <v>9.14</v>
      </c>
      <c r="D185" s="1" t="n">
        <v>10</v>
      </c>
      <c r="E185" s="1" t="n">
        <f aca="false">D185*C185</f>
        <v>91.4</v>
      </c>
      <c r="F185" s="3" t="n">
        <v>2.27249592</v>
      </c>
      <c r="G185" s="4" t="n">
        <v>24.8631938730853</v>
      </c>
    </row>
    <row r="186" customFormat="false" ht="13.8" hidden="false" customHeight="false" outlineLevel="0" collapsed="false">
      <c r="A186" s="1" t="n">
        <v>1836</v>
      </c>
      <c r="B186" s="2" t="n">
        <v>2377.84</v>
      </c>
      <c r="C186" s="1" t="n">
        <v>9.4</v>
      </c>
      <c r="D186" s="1" t="n">
        <v>10</v>
      </c>
      <c r="E186" s="1" t="n">
        <f aca="false">D186*C186</f>
        <v>94</v>
      </c>
      <c r="F186" s="3" t="n">
        <v>2.30424736</v>
      </c>
      <c r="G186" s="4" t="n">
        <v>24.513269787234</v>
      </c>
    </row>
    <row r="187" customFormat="false" ht="13.8" hidden="false" customHeight="false" outlineLevel="0" collapsed="false">
      <c r="A187" s="1" t="n">
        <v>1840</v>
      </c>
      <c r="B187" s="2" t="n">
        <v>2398</v>
      </c>
      <c r="C187" s="1" t="n">
        <v>9.7</v>
      </c>
      <c r="D187" s="1" t="n">
        <v>10</v>
      </c>
      <c r="E187" s="1" t="n">
        <f aca="false">D187*C187</f>
        <v>97</v>
      </c>
      <c r="F187" s="3" t="n">
        <v>2.36321432</v>
      </c>
      <c r="G187" s="4" t="n">
        <v>24.3630342268041</v>
      </c>
    </row>
    <row r="188" customFormat="false" ht="13.8" hidden="false" customHeight="false" outlineLevel="0" collapsed="false">
      <c r="A188" s="1" t="n">
        <v>1844</v>
      </c>
      <c r="B188" s="2" t="n">
        <v>2410.17</v>
      </c>
      <c r="C188" s="1" t="n">
        <v>10</v>
      </c>
      <c r="D188" s="1" t="n">
        <v>10</v>
      </c>
      <c r="E188" s="1" t="n">
        <f aca="false">D188*C188</f>
        <v>100</v>
      </c>
      <c r="F188" s="3" t="n">
        <v>2.40857352</v>
      </c>
      <c r="G188" s="4" t="n">
        <v>24.0857352</v>
      </c>
    </row>
    <row r="189" customFormat="false" ht="13.8" hidden="false" customHeight="false" outlineLevel="0" collapsed="false">
      <c r="A189" s="1" t="n">
        <v>1848</v>
      </c>
      <c r="B189" s="2" t="n">
        <v>2435.89</v>
      </c>
      <c r="C189" s="1" t="n">
        <v>10.2</v>
      </c>
      <c r="D189" s="1" t="n">
        <v>10</v>
      </c>
      <c r="E189" s="1" t="n">
        <f aca="false">D189*C189</f>
        <v>102</v>
      </c>
      <c r="F189" s="3" t="n">
        <v>2.45393272</v>
      </c>
      <c r="G189" s="4" t="n">
        <v>24.0581639215686</v>
      </c>
    </row>
    <row r="190" customFormat="false" ht="13.8" hidden="false" customHeight="false" outlineLevel="0" collapsed="false">
      <c r="A190" s="1" t="n">
        <v>1852</v>
      </c>
      <c r="B190" s="2" t="n">
        <v>2453.29</v>
      </c>
      <c r="C190" s="1" t="n">
        <v>10.5</v>
      </c>
      <c r="D190" s="1" t="n">
        <v>10</v>
      </c>
      <c r="E190" s="1" t="n">
        <f aca="false">D190*C190</f>
        <v>105</v>
      </c>
      <c r="F190" s="3" t="n">
        <v>2.48114824</v>
      </c>
      <c r="G190" s="4" t="n">
        <v>23.6299832380952</v>
      </c>
    </row>
    <row r="191" customFormat="false" ht="13.8" hidden="false" customHeight="false" outlineLevel="0" collapsed="false">
      <c r="A191" s="1" t="n">
        <v>1856</v>
      </c>
      <c r="B191" s="2" t="n">
        <v>2481</v>
      </c>
      <c r="C191" s="1" t="n">
        <v>10.79</v>
      </c>
      <c r="D191" s="1" t="n">
        <v>10</v>
      </c>
      <c r="E191" s="1" t="n">
        <f aca="false">D191*C191</f>
        <v>107.9</v>
      </c>
      <c r="F191" s="3" t="n">
        <v>2.55372296</v>
      </c>
      <c r="G191" s="4" t="n">
        <v>23.6674973123262</v>
      </c>
    </row>
    <row r="192" customFormat="false" ht="13.8" hidden="false" customHeight="false" outlineLevel="0" collapsed="false">
      <c r="A192" s="1" t="n">
        <v>1860</v>
      </c>
      <c r="B192" s="2" t="n">
        <v>2499.34</v>
      </c>
      <c r="C192" s="1" t="n">
        <v>11.04</v>
      </c>
      <c r="D192" s="1" t="n">
        <v>10</v>
      </c>
      <c r="E192" s="1" t="n">
        <f aca="false">D192*C192</f>
        <v>110.4</v>
      </c>
      <c r="F192" s="3" t="n">
        <v>2.58093848</v>
      </c>
      <c r="G192" s="4" t="n">
        <v>23.378065942029</v>
      </c>
    </row>
    <row r="193" customFormat="false" ht="13.8" hidden="false" customHeight="false" outlineLevel="0" collapsed="false">
      <c r="A193" s="1" t="n">
        <v>1864</v>
      </c>
      <c r="B193" s="2" t="n">
        <v>2522.36</v>
      </c>
      <c r="C193" s="1" t="n">
        <v>11.35</v>
      </c>
      <c r="D193" s="1" t="n">
        <v>10</v>
      </c>
      <c r="E193" s="1" t="n">
        <f aca="false">D193*C193</f>
        <v>113.5</v>
      </c>
      <c r="F193" s="3" t="n">
        <v>2.61722584</v>
      </c>
      <c r="G193" s="4" t="n">
        <v>23.0592585022026</v>
      </c>
    </row>
    <row r="194" customFormat="false" ht="13.8" hidden="false" customHeight="false" outlineLevel="0" collapsed="false">
      <c r="A194" s="1" t="n">
        <v>1868</v>
      </c>
      <c r="B194" s="2" t="n">
        <v>2542.85</v>
      </c>
      <c r="C194" s="1" t="n">
        <v>11.6</v>
      </c>
      <c r="D194" s="1" t="n">
        <v>10</v>
      </c>
      <c r="E194" s="1" t="n">
        <f aca="false">D194*C194</f>
        <v>116</v>
      </c>
      <c r="F194" s="3" t="n">
        <v>2.64897728</v>
      </c>
      <c r="G194" s="4" t="n">
        <v>22.8360110344828</v>
      </c>
    </row>
    <row r="195" customFormat="false" ht="13.8" hidden="false" customHeight="false" outlineLevel="0" collapsed="false">
      <c r="A195" s="1" t="n">
        <v>1872</v>
      </c>
      <c r="B195" s="2" t="n">
        <v>2558.17</v>
      </c>
      <c r="C195" s="1" t="n">
        <v>11.9</v>
      </c>
      <c r="D195" s="1" t="n">
        <v>10</v>
      </c>
      <c r="E195" s="1" t="n">
        <f aca="false">D195*C195</f>
        <v>119</v>
      </c>
      <c r="F195" s="3" t="n">
        <v>2.68526464</v>
      </c>
      <c r="G195" s="4" t="n">
        <v>22.5652490756303</v>
      </c>
    </row>
    <row r="196" customFormat="false" ht="13.8" hidden="false" customHeight="false" outlineLevel="0" collapsed="false">
      <c r="A196" s="1" t="n">
        <v>1876</v>
      </c>
      <c r="B196" s="2" t="n">
        <v>2574.59</v>
      </c>
      <c r="C196" s="1" t="n">
        <v>12.28</v>
      </c>
      <c r="D196" s="1" t="n">
        <v>10</v>
      </c>
      <c r="E196" s="1" t="n">
        <f aca="false">D196*C196</f>
        <v>122.8</v>
      </c>
      <c r="F196" s="3" t="n">
        <v>2.73515976</v>
      </c>
      <c r="G196" s="4" t="n">
        <v>22.2732879478827</v>
      </c>
    </row>
    <row r="197" customFormat="false" ht="13.8" hidden="false" customHeight="false" outlineLevel="0" collapsed="false">
      <c r="A197" s="1" t="n">
        <v>1880</v>
      </c>
      <c r="B197" s="2" t="n">
        <v>2601.92</v>
      </c>
      <c r="C197" s="1" t="n">
        <v>12.44</v>
      </c>
      <c r="D197" s="1" t="n">
        <v>10</v>
      </c>
      <c r="E197" s="1" t="n">
        <f aca="false">D197*C197</f>
        <v>124.4</v>
      </c>
      <c r="F197" s="3" t="n">
        <v>2.77144712</v>
      </c>
      <c r="G197" s="4" t="n">
        <v>22.2785138263666</v>
      </c>
    </row>
    <row r="198" customFormat="false" ht="13.8" hidden="false" customHeight="false" outlineLevel="0" collapsed="false">
      <c r="A198" s="1" t="n">
        <v>1884</v>
      </c>
      <c r="B198" s="2" t="n">
        <v>2612.65</v>
      </c>
      <c r="C198" s="1" t="n">
        <v>12.8</v>
      </c>
      <c r="D198" s="1" t="n">
        <v>10</v>
      </c>
      <c r="E198" s="1" t="n">
        <f aca="false">D198*C198</f>
        <v>128</v>
      </c>
      <c r="F198" s="3" t="n">
        <v>2.82134224</v>
      </c>
      <c r="G198" s="4" t="n">
        <v>22.04173625</v>
      </c>
    </row>
    <row r="199" customFormat="false" ht="13.8" hidden="false" customHeight="false" outlineLevel="0" collapsed="false">
      <c r="A199" s="1" t="n">
        <v>1888</v>
      </c>
      <c r="B199" s="2" t="n">
        <v>2632.98</v>
      </c>
      <c r="C199" s="1" t="n">
        <v>13.13</v>
      </c>
      <c r="D199" s="1" t="n">
        <v>10</v>
      </c>
      <c r="E199" s="1" t="n">
        <f aca="false">D199*C199</f>
        <v>131.3</v>
      </c>
      <c r="F199" s="3" t="n">
        <v>2.87577328</v>
      </c>
      <c r="G199" s="4" t="n">
        <v>21.9023098248286</v>
      </c>
    </row>
    <row r="200" customFormat="false" ht="13.8" hidden="false" customHeight="false" outlineLevel="0" collapsed="false">
      <c r="A200" s="1" t="n">
        <v>1892</v>
      </c>
      <c r="B200" s="2" t="n">
        <v>2657.24</v>
      </c>
      <c r="C200" s="1" t="n">
        <v>13.4</v>
      </c>
      <c r="D200" s="1" t="n">
        <v>10</v>
      </c>
      <c r="E200" s="1" t="n">
        <f aca="false">D200*C200</f>
        <v>134</v>
      </c>
      <c r="F200" s="3" t="n">
        <v>2.89391696</v>
      </c>
      <c r="G200" s="4" t="n">
        <v>21.5963952238806</v>
      </c>
    </row>
    <row r="201" customFormat="false" ht="13.8" hidden="false" customHeight="false" outlineLevel="0" collapsed="false">
      <c r="A201" s="1" t="n">
        <v>1896</v>
      </c>
      <c r="B201" s="2" t="n">
        <v>2664.79</v>
      </c>
      <c r="C201" s="1" t="n">
        <v>13.62</v>
      </c>
      <c r="D201" s="1" t="n">
        <v>10</v>
      </c>
      <c r="E201" s="1" t="n">
        <f aca="false">D201*C201</f>
        <v>136.2</v>
      </c>
      <c r="F201" s="3" t="n">
        <v>2.91659656</v>
      </c>
      <c r="G201" s="4" t="n">
        <v>21.4140716593245</v>
      </c>
    </row>
    <row r="202" customFormat="false" ht="13.8" hidden="false" customHeight="false" outlineLevel="0" collapsed="false">
      <c r="A202" s="1" t="n">
        <v>1900</v>
      </c>
      <c r="B202" s="2" t="n">
        <v>2668.00333333333</v>
      </c>
      <c r="C202" s="1" t="n">
        <v>13.6</v>
      </c>
      <c r="D202" s="1" t="n">
        <v>10</v>
      </c>
      <c r="E202" s="1" t="n">
        <v>136</v>
      </c>
      <c r="F202" s="3" t="n">
        <v>2.9256684</v>
      </c>
      <c r="G202" s="4" t="n">
        <v>21.5122139144963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2" activeCellId="0" sqref="J22"/>
    </sheetView>
  </sheetViews>
  <sheetFormatPr defaultColWidth="8.75" defaultRowHeight="13.8" customHeight="false" zeroHeight="false" outlineLevelRow="0" outlineLevelCol="0"/>
  <cols>
    <col collapsed="false" customWidth="true" hidden="false" outlineLevel="0" max="1" min="1" style="1" width="9.59"/>
    <col collapsed="false" customWidth="true" hidden="false" outlineLevel="0" max="2" min="2" style="2" width="9.13"/>
    <col collapsed="false" customWidth="true" hidden="false" outlineLevel="0" max="3" min="3" style="1" width="10.99"/>
    <col collapsed="false" customWidth="true" hidden="false" outlineLevel="0" max="4" min="4" style="1" width="11.14"/>
    <col collapsed="false" customWidth="true" hidden="false" outlineLevel="0" max="5" min="5" style="1" width="10.71"/>
    <col collapsed="false" customWidth="true" hidden="false" outlineLevel="0" max="6" min="6" style="1" width="10.99"/>
    <col collapsed="false" customWidth="true" hidden="false" outlineLevel="0" max="7" min="7" style="1" width="15.1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n">
        <v>1100</v>
      </c>
      <c r="B2" s="2" t="n">
        <v>2975.71166666667</v>
      </c>
      <c r="C2" s="3" t="n">
        <v>17.0316666666667</v>
      </c>
      <c r="D2" s="1" t="n">
        <v>12</v>
      </c>
      <c r="E2" s="4" t="n">
        <v>204.38</v>
      </c>
      <c r="F2" s="3" t="n">
        <v>-2.90374478666667</v>
      </c>
      <c r="G2" s="4" t="n">
        <v>14.2074663209487</v>
      </c>
    </row>
    <row r="3" customFormat="false" ht="13.8" hidden="false" customHeight="false" outlineLevel="0" collapsed="false">
      <c r="A3" s="1" t="n">
        <v>1104</v>
      </c>
      <c r="B3" s="2" t="n">
        <v>2968.96</v>
      </c>
      <c r="C3" s="1" t="n">
        <v>17.08</v>
      </c>
      <c r="D3" s="1" t="n">
        <v>12</v>
      </c>
      <c r="E3" s="4" t="n">
        <f aca="false">D3*C3</f>
        <v>204.96</v>
      </c>
      <c r="F3" s="3" t="n">
        <v>-2.91659656</v>
      </c>
      <c r="G3" s="4" t="n">
        <v>14.2300768930523</v>
      </c>
    </row>
    <row r="4" customFormat="false" ht="13.8" hidden="false" customHeight="false" outlineLevel="0" collapsed="false">
      <c r="A4" s="1" t="n">
        <v>1108</v>
      </c>
      <c r="B4" s="2" t="n">
        <v>2970.72</v>
      </c>
      <c r="C4" s="1" t="n">
        <v>16.76</v>
      </c>
      <c r="D4" s="1" t="n">
        <v>12</v>
      </c>
      <c r="E4" s="4" t="n">
        <f aca="false">D4*C4</f>
        <v>201.12</v>
      </c>
      <c r="F4" s="3" t="n">
        <v>-2.89391696</v>
      </c>
      <c r="G4" s="4" t="n">
        <v>14.3890063643596</v>
      </c>
    </row>
    <row r="5" customFormat="false" ht="13.8" hidden="false" customHeight="false" outlineLevel="0" collapsed="false">
      <c r="A5" s="1" t="n">
        <v>1112</v>
      </c>
      <c r="B5" s="2" t="n">
        <v>2932.79</v>
      </c>
      <c r="C5" s="1" t="n">
        <v>16.52</v>
      </c>
      <c r="D5" s="1" t="n">
        <v>12</v>
      </c>
      <c r="E5" s="4" t="n">
        <f aca="false">D5*C5</f>
        <v>198.24</v>
      </c>
      <c r="F5" s="3" t="n">
        <v>-2.83041408</v>
      </c>
      <c r="G5" s="4" t="n">
        <v>14.2777142857143</v>
      </c>
    </row>
    <row r="6" customFormat="false" ht="13.8" hidden="false" customHeight="false" outlineLevel="0" collapsed="false">
      <c r="A6" s="1" t="n">
        <v>1116</v>
      </c>
      <c r="B6" s="2" t="n">
        <v>2916.05</v>
      </c>
      <c r="C6" s="1" t="n">
        <v>16.08</v>
      </c>
      <c r="D6" s="1" t="n">
        <v>12</v>
      </c>
      <c r="E6" s="4" t="n">
        <f aca="false">D6*C6</f>
        <v>192.96</v>
      </c>
      <c r="F6" s="3" t="n">
        <v>-2.78505488</v>
      </c>
      <c r="G6" s="4" t="n">
        <v>14.4333275290216</v>
      </c>
    </row>
    <row r="7" customFormat="false" ht="13.8" hidden="false" customHeight="false" outlineLevel="0" collapsed="false">
      <c r="A7" s="1" t="n">
        <v>1120</v>
      </c>
      <c r="B7" s="2" t="n">
        <v>2898.02</v>
      </c>
      <c r="C7" s="1" t="n">
        <v>15.69</v>
      </c>
      <c r="D7" s="1" t="n">
        <v>12</v>
      </c>
      <c r="E7" s="4" t="n">
        <f aca="false">D7*C7</f>
        <v>188.28</v>
      </c>
      <c r="F7" s="3" t="n">
        <v>-2.76237528</v>
      </c>
      <c r="G7" s="4" t="n">
        <v>14.6716341618866</v>
      </c>
    </row>
    <row r="8" customFormat="false" ht="13.8" hidden="false" customHeight="false" outlineLevel="0" collapsed="false">
      <c r="A8" s="1" t="n">
        <v>1124</v>
      </c>
      <c r="B8" s="2" t="n">
        <v>2874</v>
      </c>
      <c r="C8" s="1" t="n">
        <v>15.31</v>
      </c>
      <c r="D8" s="1" t="n">
        <v>12</v>
      </c>
      <c r="E8" s="4" t="n">
        <f aca="false">D8*C8</f>
        <v>183.72</v>
      </c>
      <c r="F8" s="3" t="n">
        <v>-2.721552</v>
      </c>
      <c r="G8" s="4" t="n">
        <v>14.8135858915741</v>
      </c>
    </row>
    <row r="9" customFormat="false" ht="13.8" hidden="false" customHeight="false" outlineLevel="0" collapsed="false">
      <c r="A9" s="1" t="n">
        <v>1128</v>
      </c>
      <c r="B9" s="2" t="n">
        <v>2852.14</v>
      </c>
      <c r="C9" s="1" t="n">
        <v>15</v>
      </c>
      <c r="D9" s="1" t="n">
        <v>12</v>
      </c>
      <c r="E9" s="4" t="n">
        <f aca="false">D9*C9</f>
        <v>180</v>
      </c>
      <c r="F9" s="3" t="n">
        <v>-2.67165688</v>
      </c>
      <c r="G9" s="4" t="n">
        <v>14.8425382222222</v>
      </c>
    </row>
    <row r="10" customFormat="false" ht="13.8" hidden="false" customHeight="false" outlineLevel="0" collapsed="false">
      <c r="A10" s="1" t="n">
        <v>1132</v>
      </c>
      <c r="B10" s="2" t="n">
        <v>2841.15</v>
      </c>
      <c r="C10" s="1" t="n">
        <v>14.51</v>
      </c>
      <c r="D10" s="1" t="n">
        <v>12</v>
      </c>
      <c r="E10" s="4" t="n">
        <f aca="false">D10*C10</f>
        <v>174.12</v>
      </c>
      <c r="F10" s="3" t="n">
        <v>-2.59908216</v>
      </c>
      <c r="G10" s="4" t="n">
        <v>14.9269593383873</v>
      </c>
    </row>
    <row r="11" customFormat="false" ht="13.8" hidden="false" customHeight="false" outlineLevel="0" collapsed="false">
      <c r="A11" s="1" t="n">
        <v>1136</v>
      </c>
      <c r="B11" s="2" t="n">
        <v>2817.28</v>
      </c>
      <c r="C11" s="1" t="n">
        <v>14.17</v>
      </c>
      <c r="D11" s="1" t="n">
        <v>12</v>
      </c>
      <c r="E11" s="4" t="n">
        <f aca="false">D11*C11</f>
        <v>170.04</v>
      </c>
      <c r="F11" s="3" t="n">
        <v>-2.59454624</v>
      </c>
      <c r="G11" s="4" t="n">
        <v>15.2584464831804</v>
      </c>
    </row>
    <row r="12" customFormat="false" ht="13.8" hidden="false" customHeight="false" outlineLevel="0" collapsed="false">
      <c r="A12" s="1" t="n">
        <v>1140</v>
      </c>
      <c r="B12" s="2" t="n">
        <v>2792.28</v>
      </c>
      <c r="C12" s="1" t="n">
        <v>13.82</v>
      </c>
      <c r="D12" s="1" t="n">
        <v>12</v>
      </c>
      <c r="E12" s="4" t="n">
        <f aca="false">D12*C12</f>
        <v>165.84</v>
      </c>
      <c r="F12" s="3" t="n">
        <v>-2.5627948</v>
      </c>
      <c r="G12" s="4" t="n">
        <v>15.4534177520502</v>
      </c>
    </row>
    <row r="13" customFormat="false" ht="13.8" hidden="false" customHeight="false" outlineLevel="0" collapsed="false">
      <c r="A13" s="1" t="n">
        <v>1144</v>
      </c>
      <c r="B13" s="2" t="n">
        <v>2773.38</v>
      </c>
      <c r="C13" s="1" t="n">
        <v>13.46</v>
      </c>
      <c r="D13" s="1" t="n">
        <v>12</v>
      </c>
      <c r="E13" s="4" t="n">
        <f aca="false">D13*C13</f>
        <v>161.52</v>
      </c>
      <c r="F13" s="3" t="n">
        <v>-2.494756</v>
      </c>
      <c r="G13" s="4" t="n">
        <v>15.4454928182268</v>
      </c>
    </row>
    <row r="14" customFormat="false" ht="13.8" hidden="false" customHeight="false" outlineLevel="0" collapsed="false">
      <c r="A14" s="1" t="n">
        <v>1148</v>
      </c>
      <c r="B14" s="2" t="n">
        <v>2754.85</v>
      </c>
      <c r="C14" s="1" t="n">
        <v>13.08</v>
      </c>
      <c r="D14" s="1" t="n">
        <v>12</v>
      </c>
      <c r="E14" s="4" t="n">
        <f aca="false">D14*C14</f>
        <v>156.96</v>
      </c>
      <c r="F14" s="3" t="n">
        <v>-2.44032496</v>
      </c>
      <c r="G14" s="4" t="n">
        <v>15.5474322120285</v>
      </c>
    </row>
    <row r="15" customFormat="false" ht="13.8" hidden="false" customHeight="false" outlineLevel="0" collapsed="false">
      <c r="A15" s="1" t="n">
        <v>1152</v>
      </c>
      <c r="B15" s="2" t="n">
        <v>2727.81</v>
      </c>
      <c r="C15" s="1" t="n">
        <v>12.8</v>
      </c>
      <c r="D15" s="1" t="n">
        <v>12</v>
      </c>
      <c r="E15" s="4" t="n">
        <f aca="false">D15*C15</f>
        <v>153.6</v>
      </c>
      <c r="F15" s="3" t="n">
        <v>-2.43125312</v>
      </c>
      <c r="G15" s="4" t="n">
        <v>15.8284708333333</v>
      </c>
    </row>
    <row r="16" customFormat="false" ht="13.8" hidden="false" customHeight="false" outlineLevel="0" collapsed="false">
      <c r="A16" s="1" t="n">
        <v>1156</v>
      </c>
      <c r="B16" s="2" t="n">
        <v>2714.06</v>
      </c>
      <c r="C16" s="1" t="n">
        <v>12.4</v>
      </c>
      <c r="D16" s="1" t="n">
        <v>12</v>
      </c>
      <c r="E16" s="4" t="n">
        <f aca="false">D16*C16</f>
        <v>148.8</v>
      </c>
      <c r="F16" s="3" t="n">
        <v>-2.38589392</v>
      </c>
      <c r="G16" s="4" t="n">
        <v>16.0342333333333</v>
      </c>
    </row>
    <row r="17" customFormat="false" ht="13.8" hidden="false" customHeight="false" outlineLevel="0" collapsed="false">
      <c r="A17" s="1" t="n">
        <v>1160</v>
      </c>
      <c r="B17" s="2" t="n">
        <v>2688.86</v>
      </c>
      <c r="C17" s="1" t="n">
        <v>12</v>
      </c>
      <c r="D17" s="1" t="n">
        <v>12</v>
      </c>
      <c r="E17" s="4" t="n">
        <f aca="false">D17*C17</f>
        <v>144</v>
      </c>
      <c r="F17" s="3" t="n">
        <v>-2.34053472</v>
      </c>
      <c r="G17" s="4" t="n">
        <v>16.2537133333333</v>
      </c>
    </row>
    <row r="18" customFormat="false" ht="13.8" hidden="false" customHeight="false" outlineLevel="0" collapsed="false">
      <c r="A18" s="1" t="n">
        <v>1164</v>
      </c>
      <c r="B18" s="2" t="n">
        <v>2675.65</v>
      </c>
      <c r="C18" s="1" t="n">
        <v>11.66</v>
      </c>
      <c r="D18" s="1" t="n">
        <v>12</v>
      </c>
      <c r="E18" s="4" t="n">
        <f aca="false">D18*C18</f>
        <v>139.92</v>
      </c>
      <c r="F18" s="3" t="n">
        <v>-2.30424736</v>
      </c>
      <c r="G18" s="4" t="n">
        <v>16.4683201829617</v>
      </c>
    </row>
    <row r="19" customFormat="false" ht="13.8" hidden="false" customHeight="false" outlineLevel="0" collapsed="false">
      <c r="A19" s="1" t="n">
        <v>1168</v>
      </c>
      <c r="B19" s="2" t="n">
        <v>2653.82</v>
      </c>
      <c r="C19" s="1" t="n">
        <v>11.31</v>
      </c>
      <c r="D19" s="1" t="n">
        <v>12</v>
      </c>
      <c r="E19" s="4" t="n">
        <f aca="false">D19*C19</f>
        <v>135.72</v>
      </c>
      <c r="F19" s="3" t="n">
        <v>-2.25435224</v>
      </c>
      <c r="G19" s="4" t="n">
        <v>16.6103171234895</v>
      </c>
    </row>
    <row r="20" customFormat="false" ht="13.8" hidden="false" customHeight="false" outlineLevel="0" collapsed="false">
      <c r="A20" s="1" t="n">
        <v>1172</v>
      </c>
      <c r="B20" s="2" t="n">
        <v>2615.28</v>
      </c>
      <c r="C20" s="1" t="n">
        <v>11.1</v>
      </c>
      <c r="D20" s="1" t="n">
        <v>12</v>
      </c>
      <c r="E20" s="4" t="n">
        <f aca="false">D20*C20</f>
        <v>133.2</v>
      </c>
      <c r="F20" s="3" t="n">
        <v>-2.22713672</v>
      </c>
      <c r="G20" s="4" t="n">
        <v>16.7202456456456</v>
      </c>
    </row>
    <row r="21" customFormat="false" ht="13.8" hidden="false" customHeight="false" outlineLevel="0" collapsed="false">
      <c r="A21" s="1" t="n">
        <v>1176</v>
      </c>
      <c r="B21" s="2" t="n">
        <v>2609.79</v>
      </c>
      <c r="C21" s="1" t="n">
        <v>10.74</v>
      </c>
      <c r="D21" s="1" t="n">
        <v>12</v>
      </c>
      <c r="E21" s="4" t="n">
        <f aca="false">D21*C21</f>
        <v>128.88</v>
      </c>
      <c r="F21" s="3" t="n">
        <v>-2.18177752</v>
      </c>
      <c r="G21" s="4" t="n">
        <v>16.9287517070143</v>
      </c>
    </row>
    <row r="22" customFormat="false" ht="13.8" hidden="false" customHeight="false" outlineLevel="0" collapsed="false">
      <c r="A22" s="1" t="n">
        <v>1180</v>
      </c>
      <c r="B22" s="2" t="n">
        <v>2575.5</v>
      </c>
      <c r="C22" s="1" t="n">
        <v>10.5</v>
      </c>
      <c r="D22" s="1" t="n">
        <v>12</v>
      </c>
      <c r="E22" s="4" t="n">
        <f aca="false">D22*C22</f>
        <v>126</v>
      </c>
      <c r="F22" s="3" t="n">
        <v>-2.14095424</v>
      </c>
      <c r="G22" s="4" t="n">
        <v>16.9917003174603</v>
      </c>
    </row>
    <row r="23" customFormat="false" ht="13.8" hidden="false" customHeight="false" outlineLevel="0" collapsed="false">
      <c r="A23" s="1" t="n">
        <v>1184</v>
      </c>
      <c r="B23" s="2" t="n">
        <v>2560.25</v>
      </c>
      <c r="C23" s="1" t="n">
        <v>10.11</v>
      </c>
      <c r="D23" s="1" t="n">
        <v>12</v>
      </c>
      <c r="E23" s="4" t="n">
        <f aca="false">D23*C23</f>
        <v>121.32</v>
      </c>
      <c r="F23" s="3" t="n">
        <v>-2.09559504</v>
      </c>
      <c r="G23" s="4" t="n">
        <v>17.2732858555885</v>
      </c>
    </row>
    <row r="24" customFormat="false" ht="13.8" hidden="false" customHeight="false" outlineLevel="0" collapsed="false">
      <c r="A24" s="1" t="n">
        <v>1188</v>
      </c>
      <c r="B24" s="2" t="n">
        <v>2533.3</v>
      </c>
      <c r="C24" s="1" t="n">
        <v>9.84</v>
      </c>
      <c r="D24" s="1" t="n">
        <v>12</v>
      </c>
      <c r="E24" s="4" t="n">
        <f aca="false">D24*C24</f>
        <v>118.08</v>
      </c>
      <c r="F24" s="3" t="n">
        <v>-2.06837952</v>
      </c>
      <c r="G24" s="4" t="n">
        <v>17.5167642276423</v>
      </c>
    </row>
    <row r="25" customFormat="false" ht="13.8" hidden="false" customHeight="false" outlineLevel="0" collapsed="false">
      <c r="A25" s="1" t="n">
        <v>1192</v>
      </c>
      <c r="B25" s="2" t="n">
        <v>2509.93</v>
      </c>
      <c r="C25" s="1" t="n">
        <v>9.5</v>
      </c>
      <c r="D25" s="1" t="n">
        <v>12</v>
      </c>
      <c r="E25" s="4" t="n">
        <f aca="false">D25*C25</f>
        <v>114</v>
      </c>
      <c r="F25" s="3" t="n">
        <v>-2.00941256</v>
      </c>
      <c r="G25" s="4" t="n">
        <v>17.6264259649123</v>
      </c>
    </row>
    <row r="26" customFormat="false" ht="13.8" hidden="false" customHeight="false" outlineLevel="0" collapsed="false">
      <c r="A26" s="1" t="n">
        <v>1196</v>
      </c>
      <c r="B26" s="2" t="n">
        <v>2482.4</v>
      </c>
      <c r="C26" s="1" t="n">
        <v>9.2</v>
      </c>
      <c r="D26" s="1" t="n">
        <v>12</v>
      </c>
      <c r="E26" s="4" t="n">
        <f aca="false">D26*C26</f>
        <v>110.4</v>
      </c>
      <c r="F26" s="3" t="n">
        <v>-1.98219704</v>
      </c>
      <c r="G26" s="4" t="n">
        <v>17.9546833333333</v>
      </c>
    </row>
    <row r="27" customFormat="false" ht="13.8" hidden="false" customHeight="false" outlineLevel="0" collapsed="false">
      <c r="A27" s="1" t="n">
        <v>1200</v>
      </c>
      <c r="B27" s="2" t="n">
        <v>2457.07</v>
      </c>
      <c r="C27" s="1" t="n">
        <v>8.9</v>
      </c>
      <c r="D27" s="1" t="n">
        <v>12</v>
      </c>
      <c r="E27" s="4" t="n">
        <f aca="false">D27*C27</f>
        <v>106.8</v>
      </c>
      <c r="F27" s="3" t="n">
        <v>-1.94590968</v>
      </c>
      <c r="G27" s="4" t="n">
        <v>18.2201280898876</v>
      </c>
    </row>
    <row r="28" customFormat="false" ht="13.8" hidden="false" customHeight="false" outlineLevel="0" collapsed="false">
      <c r="A28" s="1" t="n">
        <v>1204</v>
      </c>
      <c r="B28" s="2" t="n">
        <v>2443.1</v>
      </c>
      <c r="C28" s="1" t="n">
        <v>8.6</v>
      </c>
      <c r="D28" s="1" t="n">
        <v>12</v>
      </c>
      <c r="E28" s="4" t="n">
        <f aca="false">D28*C28</f>
        <v>103.2</v>
      </c>
      <c r="F28" s="3" t="n">
        <v>-1.8824068</v>
      </c>
      <c r="G28" s="4" t="n">
        <v>18.2403759689923</v>
      </c>
    </row>
    <row r="29" customFormat="false" ht="13.8" hidden="false" customHeight="false" outlineLevel="0" collapsed="false">
      <c r="A29" s="1" t="n">
        <v>1208</v>
      </c>
      <c r="B29" s="2" t="n">
        <v>2412.27</v>
      </c>
      <c r="C29" s="1" t="n">
        <v>8.3</v>
      </c>
      <c r="D29" s="1" t="n">
        <v>12</v>
      </c>
      <c r="E29" s="4" t="n">
        <f aca="false">D29*C29</f>
        <v>99.6</v>
      </c>
      <c r="F29" s="3" t="n">
        <v>-1.84611944</v>
      </c>
      <c r="G29" s="4" t="n">
        <v>18.5353357429719</v>
      </c>
    </row>
    <row r="30" customFormat="false" ht="13.8" hidden="false" customHeight="false" outlineLevel="0" collapsed="false">
      <c r="A30" s="1" t="n">
        <v>1212</v>
      </c>
      <c r="B30" s="2" t="n">
        <v>2382.61</v>
      </c>
      <c r="C30" s="1" t="n">
        <v>8</v>
      </c>
      <c r="D30" s="1" t="n">
        <v>12</v>
      </c>
      <c r="E30" s="4" t="n">
        <f aca="false">D30*C30</f>
        <v>96</v>
      </c>
      <c r="F30" s="3" t="n">
        <v>-1.80529616</v>
      </c>
      <c r="G30" s="4" t="n">
        <v>18.8051683333333</v>
      </c>
    </row>
    <row r="31" customFormat="false" ht="13.8" hidden="false" customHeight="false" outlineLevel="0" collapsed="false">
      <c r="A31" s="1" t="n">
        <v>1216</v>
      </c>
      <c r="B31" s="2" t="n">
        <v>2364.76</v>
      </c>
      <c r="C31" s="1" t="n">
        <v>7.7</v>
      </c>
      <c r="D31" s="1" t="n">
        <v>12</v>
      </c>
      <c r="E31" s="4" t="n">
        <f aca="false">D31*C31</f>
        <v>92.4</v>
      </c>
      <c r="F31" s="3" t="n">
        <v>-1.77808064</v>
      </c>
      <c r="G31" s="4" t="n">
        <v>19.243296969697</v>
      </c>
    </row>
    <row r="32" customFormat="false" ht="13.8" hidden="false" customHeight="false" outlineLevel="0" collapsed="false">
      <c r="A32" s="1" t="n">
        <v>1220</v>
      </c>
      <c r="B32" s="2" t="n">
        <v>2335.07</v>
      </c>
      <c r="C32" s="1" t="n">
        <v>7.4</v>
      </c>
      <c r="D32" s="1" t="n">
        <v>12</v>
      </c>
      <c r="E32" s="4" t="n">
        <f aca="false">D32*C32</f>
        <v>88.8</v>
      </c>
      <c r="F32" s="3" t="n">
        <v>-1.73272144</v>
      </c>
      <c r="G32" s="4" t="n">
        <v>19.5126288288288</v>
      </c>
    </row>
    <row r="33" customFormat="false" ht="13.8" hidden="false" customHeight="false" outlineLevel="0" collapsed="false">
      <c r="A33" s="1" t="n">
        <v>1224</v>
      </c>
      <c r="B33" s="2" t="n">
        <v>2317.79</v>
      </c>
      <c r="C33" s="1" t="n">
        <v>7.1</v>
      </c>
      <c r="D33" s="1" t="n">
        <v>12</v>
      </c>
      <c r="E33" s="4" t="n">
        <f aca="false">D33*C33</f>
        <v>85.2</v>
      </c>
      <c r="F33" s="3" t="n">
        <v>-1.66468264</v>
      </c>
      <c r="G33" s="4" t="n">
        <v>19.5385286384977</v>
      </c>
    </row>
    <row r="34" customFormat="false" ht="13.8" hidden="false" customHeight="false" outlineLevel="0" collapsed="false">
      <c r="A34" s="1" t="n">
        <v>1228</v>
      </c>
      <c r="B34" s="2" t="n">
        <v>2283.62</v>
      </c>
      <c r="C34" s="1" t="n">
        <v>6.9</v>
      </c>
      <c r="D34" s="1" t="n">
        <v>12</v>
      </c>
      <c r="E34" s="4" t="n">
        <f aca="false">D34*C34</f>
        <v>82.8</v>
      </c>
      <c r="F34" s="3" t="n">
        <v>-1.65107488</v>
      </c>
      <c r="G34" s="4" t="n">
        <v>19.9405178743961</v>
      </c>
    </row>
    <row r="35" customFormat="false" ht="13.8" hidden="false" customHeight="false" outlineLevel="0" collapsed="false">
      <c r="A35" s="1" t="n">
        <v>1232</v>
      </c>
      <c r="B35" s="2" t="n">
        <v>2259.99</v>
      </c>
      <c r="C35" s="1" t="n">
        <v>6.6</v>
      </c>
      <c r="D35" s="1" t="n">
        <v>12</v>
      </c>
      <c r="E35" s="4" t="n">
        <f aca="false">D35*C35</f>
        <v>79.2</v>
      </c>
      <c r="F35" s="3" t="n">
        <v>-1.6102516</v>
      </c>
      <c r="G35" s="4" t="n">
        <v>20.3314595959596</v>
      </c>
    </row>
    <row r="36" customFormat="false" ht="13.8" hidden="false" customHeight="false" outlineLevel="0" collapsed="false">
      <c r="A36" s="1" t="n">
        <v>1236</v>
      </c>
      <c r="B36" s="2" t="n">
        <v>2230.62</v>
      </c>
      <c r="C36" s="1" t="n">
        <v>6.4</v>
      </c>
      <c r="D36" s="1" t="n">
        <v>12</v>
      </c>
      <c r="E36" s="4" t="n">
        <f aca="false">D36*C36</f>
        <v>76.8</v>
      </c>
      <c r="F36" s="3" t="n">
        <v>-1.56035648</v>
      </c>
      <c r="G36" s="4" t="n">
        <v>20.3171416666667</v>
      </c>
    </row>
    <row r="37" customFormat="false" ht="13.8" hidden="false" customHeight="false" outlineLevel="0" collapsed="false">
      <c r="A37" s="1" t="n">
        <v>1240</v>
      </c>
      <c r="B37" s="2" t="n">
        <v>2207.79</v>
      </c>
      <c r="C37" s="1" t="n">
        <v>6.2</v>
      </c>
      <c r="D37" s="1" t="n">
        <v>12</v>
      </c>
      <c r="E37" s="4" t="n">
        <f aca="false">D37*C37</f>
        <v>74.4</v>
      </c>
      <c r="F37" s="3" t="n">
        <v>-1.53314096</v>
      </c>
      <c r="G37" s="4" t="n">
        <v>20.6067333333333</v>
      </c>
    </row>
    <row r="38" customFormat="false" ht="13.8" hidden="false" customHeight="false" outlineLevel="0" collapsed="false">
      <c r="A38" s="1" t="n">
        <v>1244</v>
      </c>
      <c r="B38" s="2" t="n">
        <v>2188.54</v>
      </c>
      <c r="C38" s="1" t="n">
        <v>5.99</v>
      </c>
      <c r="D38" s="1" t="n">
        <v>12</v>
      </c>
      <c r="E38" s="4" t="n">
        <f aca="false">D38*C38</f>
        <v>71.88</v>
      </c>
      <c r="F38" s="3" t="n">
        <v>-1.49231768</v>
      </c>
      <c r="G38" s="4" t="n">
        <v>20.7612365052866</v>
      </c>
    </row>
    <row r="39" customFormat="false" ht="13.8" hidden="false" customHeight="false" outlineLevel="0" collapsed="false">
      <c r="A39" s="1" t="n">
        <v>1248</v>
      </c>
      <c r="B39" s="2" t="n">
        <v>2159.03</v>
      </c>
      <c r="C39" s="1" t="n">
        <v>5.77</v>
      </c>
      <c r="D39" s="1" t="n">
        <v>12</v>
      </c>
      <c r="E39" s="4" t="n">
        <f aca="false">D39*C39</f>
        <v>69.24</v>
      </c>
      <c r="F39" s="3" t="n">
        <v>-1.46963808</v>
      </c>
      <c r="G39" s="4" t="n">
        <v>21.2252755632582</v>
      </c>
      <c r="H39" s="5"/>
    </row>
    <row r="40" customFormat="false" ht="13.8" hidden="false" customHeight="false" outlineLevel="0" collapsed="false">
      <c r="A40" s="1" t="n">
        <v>1252</v>
      </c>
      <c r="B40" s="2" t="n">
        <v>2139.97</v>
      </c>
      <c r="C40" s="1" t="n">
        <v>5.5</v>
      </c>
      <c r="D40" s="1" t="n">
        <v>12</v>
      </c>
      <c r="E40" s="4" t="n">
        <f aca="false">D40*C40</f>
        <v>66</v>
      </c>
      <c r="F40" s="3" t="n">
        <v>-1.43788664</v>
      </c>
      <c r="G40" s="4" t="n">
        <v>21.7861612121212</v>
      </c>
    </row>
    <row r="41" customFormat="false" ht="13.8" hidden="false" customHeight="false" outlineLevel="0" collapsed="false">
      <c r="A41" s="1" t="n">
        <v>1256</v>
      </c>
      <c r="B41" s="2" t="n">
        <v>2105.91</v>
      </c>
      <c r="C41" s="1" t="n">
        <v>5.32</v>
      </c>
      <c r="D41" s="1" t="n">
        <v>12</v>
      </c>
      <c r="E41" s="4" t="n">
        <f aca="false">D41*C41</f>
        <v>63.84</v>
      </c>
      <c r="F41" s="3" t="n">
        <v>-1.39706336</v>
      </c>
      <c r="G41" s="4" t="n">
        <v>21.8838245614035</v>
      </c>
    </row>
    <row r="42" customFormat="false" ht="13.8" hidden="false" customHeight="false" outlineLevel="0" collapsed="false">
      <c r="A42" s="1" t="n">
        <v>1260</v>
      </c>
      <c r="B42" s="2" t="n">
        <v>2081.82</v>
      </c>
      <c r="C42" s="1" t="n">
        <v>5.17</v>
      </c>
      <c r="D42" s="1" t="n">
        <v>12</v>
      </c>
      <c r="E42" s="4" t="n">
        <f aca="false">D42*C42</f>
        <v>62.04</v>
      </c>
      <c r="F42" s="3" t="n">
        <v>-1.36984784</v>
      </c>
      <c r="G42" s="4" t="n">
        <v>22.0800747904578</v>
      </c>
    </row>
    <row r="43" customFormat="false" ht="13.8" hidden="false" customHeight="false" outlineLevel="0" collapsed="false">
      <c r="A43" s="1" t="n">
        <v>1264</v>
      </c>
      <c r="B43" s="2" t="n">
        <v>2057.38</v>
      </c>
      <c r="C43" s="1" t="n">
        <v>4.9</v>
      </c>
      <c r="D43" s="1" t="n">
        <v>12</v>
      </c>
      <c r="E43" s="4" t="n">
        <f aca="false">D43*C43</f>
        <v>58.8</v>
      </c>
      <c r="F43" s="3" t="n">
        <v>-1.33356048</v>
      </c>
      <c r="G43" s="4" t="n">
        <v>22.6796</v>
      </c>
    </row>
    <row r="44" customFormat="false" ht="13.8" hidden="false" customHeight="false" outlineLevel="0" collapsed="false">
      <c r="A44" s="1" t="n">
        <v>1268</v>
      </c>
      <c r="B44" s="2" t="n">
        <v>2038.07</v>
      </c>
      <c r="C44" s="1" t="n">
        <v>4.7</v>
      </c>
      <c r="D44" s="1" t="n">
        <v>12</v>
      </c>
      <c r="E44" s="4" t="n">
        <f aca="false">D44*C44</f>
        <v>56.4</v>
      </c>
      <c r="F44" s="3" t="n">
        <v>-1.2927372</v>
      </c>
      <c r="G44" s="4" t="n">
        <v>22.9208723404255</v>
      </c>
    </row>
    <row r="45" customFormat="false" ht="13.8" hidden="false" customHeight="false" outlineLevel="0" collapsed="false">
      <c r="A45" s="1" t="n">
        <v>1272</v>
      </c>
      <c r="B45" s="2" t="n">
        <v>2006</v>
      </c>
      <c r="C45" s="1" t="n">
        <v>4.56</v>
      </c>
      <c r="D45" s="1" t="n">
        <v>12</v>
      </c>
      <c r="E45" s="4" t="n">
        <f aca="false">D45*C45</f>
        <v>54.72</v>
      </c>
      <c r="F45" s="3" t="n">
        <v>-1.27912944</v>
      </c>
      <c r="G45" s="4" t="n">
        <v>23.3759035087719</v>
      </c>
    </row>
    <row r="46" customFormat="false" ht="13.8" hidden="false" customHeight="false" outlineLevel="0" collapsed="false">
      <c r="A46" s="1" t="n">
        <v>1276</v>
      </c>
      <c r="B46" s="2" t="n">
        <v>1981.95</v>
      </c>
      <c r="C46" s="1" t="n">
        <v>4.3</v>
      </c>
      <c r="D46" s="1" t="n">
        <v>12</v>
      </c>
      <c r="E46" s="4" t="n">
        <f aca="false">D46*C46</f>
        <v>51.6</v>
      </c>
      <c r="F46" s="3" t="n">
        <v>-1.22016248</v>
      </c>
      <c r="G46" s="4" t="n">
        <v>23.6465596899225</v>
      </c>
    </row>
    <row r="47" customFormat="false" ht="13.8" hidden="false" customHeight="false" outlineLevel="0" collapsed="false">
      <c r="A47" s="1" t="n">
        <v>1280</v>
      </c>
      <c r="B47" s="2" t="n">
        <v>1954.6</v>
      </c>
      <c r="C47" s="1" t="n">
        <v>4.1</v>
      </c>
      <c r="D47" s="1" t="n">
        <v>12</v>
      </c>
      <c r="E47" s="4" t="n">
        <f aca="false">D47*C47</f>
        <v>49.2</v>
      </c>
      <c r="F47" s="3" t="n">
        <v>-1.19294696</v>
      </c>
      <c r="G47" s="4" t="n">
        <v>24.2468894308943</v>
      </c>
    </row>
    <row r="48" customFormat="false" ht="13.8" hidden="false" customHeight="false" outlineLevel="0" collapsed="false">
      <c r="A48" s="1" t="n">
        <v>1284</v>
      </c>
      <c r="B48" s="2" t="n">
        <v>1925.41</v>
      </c>
      <c r="C48" s="1" t="n">
        <v>3.9</v>
      </c>
      <c r="D48" s="1" t="n">
        <v>12</v>
      </c>
      <c r="E48" s="4" t="n">
        <f aca="false">D48*C48</f>
        <v>46.8</v>
      </c>
      <c r="F48" s="3" t="n">
        <v>-1.15212368</v>
      </c>
      <c r="G48" s="4" t="n">
        <v>24.6180273504274</v>
      </c>
    </row>
    <row r="49" customFormat="false" ht="13.8" hidden="false" customHeight="false" outlineLevel="0" collapsed="false">
      <c r="A49" s="1" t="n">
        <v>1288</v>
      </c>
      <c r="B49" s="2" t="n">
        <v>1898.2</v>
      </c>
      <c r="C49" s="1" t="n">
        <v>3.73</v>
      </c>
      <c r="D49" s="1" t="n">
        <v>12</v>
      </c>
      <c r="E49" s="4" t="n">
        <f aca="false">D49*C49</f>
        <v>44.76</v>
      </c>
      <c r="F49" s="3" t="n">
        <v>-1.11583632</v>
      </c>
      <c r="G49" s="4" t="n">
        <v>24.9293190348525</v>
      </c>
    </row>
    <row r="50" customFormat="false" ht="13.8" hidden="false" customHeight="false" outlineLevel="0" collapsed="false">
      <c r="A50" s="1" t="n">
        <v>1292</v>
      </c>
      <c r="B50" s="2" t="n">
        <v>1869.32</v>
      </c>
      <c r="C50" s="1" t="n">
        <v>3.6</v>
      </c>
      <c r="D50" s="1" t="n">
        <v>12</v>
      </c>
      <c r="E50" s="4" t="n">
        <f aca="false">D50*C50</f>
        <v>43.2</v>
      </c>
      <c r="F50" s="3" t="n">
        <v>-1.08408488</v>
      </c>
      <c r="G50" s="4" t="n">
        <v>25.0945574074074</v>
      </c>
    </row>
    <row r="51" customFormat="false" ht="13.8" hidden="false" customHeight="false" outlineLevel="0" collapsed="false">
      <c r="A51" s="1" t="n">
        <v>1296</v>
      </c>
      <c r="B51" s="2" t="n">
        <v>1846.03</v>
      </c>
      <c r="C51" s="1" t="n">
        <v>3.4</v>
      </c>
      <c r="D51" s="1" t="n">
        <v>12</v>
      </c>
      <c r="E51" s="4" t="n">
        <f aca="false">D51*C51</f>
        <v>40.8</v>
      </c>
      <c r="F51" s="3" t="n">
        <v>-1.0432616</v>
      </c>
      <c r="G51" s="4" t="n">
        <v>25.570137254902</v>
      </c>
    </row>
    <row r="52" customFormat="false" ht="13.8" hidden="false" customHeight="false" outlineLevel="0" collapsed="false">
      <c r="A52" s="1" t="n">
        <v>1300</v>
      </c>
      <c r="B52" s="2" t="n">
        <v>1815.13</v>
      </c>
      <c r="C52" s="1" t="n">
        <v>3.3</v>
      </c>
      <c r="D52" s="1" t="n">
        <v>12</v>
      </c>
      <c r="E52" s="4" t="n">
        <f aca="false">D52*C52</f>
        <v>39.6</v>
      </c>
      <c r="F52" s="3" t="n">
        <v>-1.020582</v>
      </c>
      <c r="G52" s="4" t="n">
        <v>25.7722727272727</v>
      </c>
    </row>
    <row r="53" customFormat="false" ht="13.8" hidden="false" customHeight="false" outlineLevel="0" collapsed="false">
      <c r="A53" s="1" t="n">
        <v>1304</v>
      </c>
      <c r="B53" s="2" t="n">
        <v>1788.29</v>
      </c>
      <c r="C53" s="1" t="n">
        <v>3.1</v>
      </c>
      <c r="D53" s="1" t="n">
        <v>12</v>
      </c>
      <c r="E53" s="4" t="n">
        <f aca="false">D53*C53</f>
        <v>37.2</v>
      </c>
      <c r="F53" s="3" t="n">
        <v>-0.99336648</v>
      </c>
      <c r="G53" s="4" t="n">
        <v>26.7034</v>
      </c>
    </row>
    <row r="54" customFormat="false" ht="13.8" hidden="false" customHeight="false" outlineLevel="0" collapsed="false">
      <c r="A54" s="1" t="n">
        <v>1308</v>
      </c>
      <c r="B54" s="2" t="n">
        <v>1762.78</v>
      </c>
      <c r="C54" s="1" t="n">
        <v>2.98</v>
      </c>
      <c r="D54" s="1" t="n">
        <v>12</v>
      </c>
      <c r="E54" s="4" t="n">
        <f aca="false">D54*C54</f>
        <v>35.76</v>
      </c>
      <c r="F54" s="3" t="n">
        <v>-0.96161504</v>
      </c>
      <c r="G54" s="4" t="n">
        <v>26.8908008948546</v>
      </c>
    </row>
    <row r="55" customFormat="false" ht="13.8" hidden="false" customHeight="false" outlineLevel="0" collapsed="false">
      <c r="A55" s="1" t="n">
        <v>1312</v>
      </c>
      <c r="B55" s="2" t="n">
        <v>1736.5</v>
      </c>
      <c r="C55" s="1" t="n">
        <v>2.8</v>
      </c>
      <c r="D55" s="1" t="n">
        <v>12</v>
      </c>
      <c r="E55" s="4" t="n">
        <f aca="false">D55*C55</f>
        <v>33.6</v>
      </c>
      <c r="F55" s="3" t="n">
        <v>-0.9298636</v>
      </c>
      <c r="G55" s="4" t="n">
        <v>27.6745119047619</v>
      </c>
    </row>
    <row r="56" customFormat="false" ht="13.8" hidden="false" customHeight="false" outlineLevel="0" collapsed="false">
      <c r="A56" s="1" t="n">
        <v>1316</v>
      </c>
      <c r="B56" s="2" t="n">
        <v>1708.11</v>
      </c>
      <c r="C56" s="1" t="n">
        <v>2.7</v>
      </c>
      <c r="D56" s="1" t="n">
        <v>12</v>
      </c>
      <c r="E56" s="4" t="n">
        <f aca="false">D56*C56</f>
        <v>32.4</v>
      </c>
      <c r="F56" s="3" t="n">
        <v>-0.90264808</v>
      </c>
      <c r="G56" s="4" t="n">
        <v>27.8595086419753</v>
      </c>
    </row>
    <row r="57" customFormat="false" ht="13.8" hidden="false" customHeight="false" outlineLevel="0" collapsed="false">
      <c r="A57" s="1" t="n">
        <v>1320</v>
      </c>
      <c r="B57" s="2" t="n">
        <v>1680.94</v>
      </c>
      <c r="C57" s="1" t="n">
        <v>2.41</v>
      </c>
      <c r="D57" s="1" t="n">
        <v>12</v>
      </c>
      <c r="E57" s="4" t="n">
        <f aca="false">D57*C57</f>
        <v>28.92</v>
      </c>
      <c r="F57" s="3" t="n">
        <v>-0.87089664</v>
      </c>
      <c r="G57" s="4" t="n">
        <v>30.1139917012448</v>
      </c>
    </row>
    <row r="58" customFormat="false" ht="13.8" hidden="false" customHeight="false" outlineLevel="0" collapsed="false">
      <c r="A58" s="1" t="n">
        <v>1324</v>
      </c>
      <c r="B58" s="2" t="n">
        <v>1650.54</v>
      </c>
      <c r="C58" s="1" t="n">
        <v>2.3</v>
      </c>
      <c r="D58" s="1" t="n">
        <v>12</v>
      </c>
      <c r="E58" s="4" t="n">
        <f aca="false">D58*C58</f>
        <v>27.6</v>
      </c>
      <c r="F58" s="3" t="n">
        <v>-0.83460928</v>
      </c>
      <c r="G58" s="4" t="n">
        <v>30.2394666666667</v>
      </c>
    </row>
    <row r="59" customFormat="false" ht="13.8" hidden="false" customHeight="false" outlineLevel="0" collapsed="false">
      <c r="A59" s="1" t="n">
        <v>1328</v>
      </c>
      <c r="B59" s="2" t="n">
        <v>1619.71</v>
      </c>
      <c r="C59" s="1" t="n">
        <v>2.1</v>
      </c>
      <c r="D59" s="1" t="n">
        <v>12</v>
      </c>
      <c r="E59" s="4" t="n">
        <f aca="false">D59*C59</f>
        <v>25.2</v>
      </c>
      <c r="F59" s="3" t="n">
        <v>-0.793786</v>
      </c>
      <c r="G59" s="4" t="n">
        <v>31.4994444444444</v>
      </c>
    </row>
    <row r="60" customFormat="false" ht="13.8" hidden="false" customHeight="false" outlineLevel="0" collapsed="false">
      <c r="A60" s="1" t="n">
        <v>1332</v>
      </c>
      <c r="B60" s="2" t="n">
        <v>1587.6</v>
      </c>
      <c r="C60" s="1" t="n">
        <v>2</v>
      </c>
      <c r="D60" s="1" t="n">
        <v>12</v>
      </c>
      <c r="E60" s="4" t="n">
        <f aca="false">D60*C60</f>
        <v>24</v>
      </c>
      <c r="F60" s="3" t="n">
        <v>-0.7711064</v>
      </c>
      <c r="G60" s="4" t="n">
        <v>32.1294333333333</v>
      </c>
    </row>
    <row r="61" customFormat="false" ht="13.8" hidden="false" customHeight="false" outlineLevel="0" collapsed="false">
      <c r="A61" s="1" t="n">
        <v>1336</v>
      </c>
      <c r="B61" s="2" t="n">
        <v>1557.43</v>
      </c>
      <c r="C61" s="1" t="n">
        <v>1.9</v>
      </c>
      <c r="D61" s="1" t="n">
        <v>12</v>
      </c>
      <c r="E61" s="4" t="n">
        <f aca="false">D61*C61</f>
        <v>22.8</v>
      </c>
      <c r="F61" s="3" t="n">
        <v>-0.73935496</v>
      </c>
      <c r="G61" s="4" t="n">
        <v>32.427849122807</v>
      </c>
    </row>
    <row r="62" customFormat="false" ht="13.8" hidden="false" customHeight="false" outlineLevel="0" collapsed="false">
      <c r="A62" s="1" t="n">
        <v>1340</v>
      </c>
      <c r="B62" s="2" t="n">
        <v>1528.96</v>
      </c>
      <c r="C62" s="1" t="n">
        <v>1.8</v>
      </c>
      <c r="D62" s="1" t="n">
        <v>12</v>
      </c>
      <c r="E62" s="4" t="n">
        <f aca="false">D62*C62</f>
        <v>21.6</v>
      </c>
      <c r="F62" s="3" t="n">
        <v>-0.72121128</v>
      </c>
      <c r="G62" s="4" t="n">
        <v>33.3894111111111</v>
      </c>
    </row>
    <row r="63" customFormat="false" ht="13.8" hidden="false" customHeight="false" outlineLevel="0" collapsed="false">
      <c r="A63" s="1" t="n">
        <v>1344</v>
      </c>
      <c r="B63" s="2" t="n">
        <v>1503.77</v>
      </c>
      <c r="C63" s="1" t="n">
        <v>1.7</v>
      </c>
      <c r="D63" s="1" t="n">
        <v>12</v>
      </c>
      <c r="E63" s="4" t="n">
        <f aca="false">D63*C63</f>
        <v>20.4</v>
      </c>
      <c r="F63" s="3" t="n">
        <v>-0.69399576</v>
      </c>
      <c r="G63" s="4" t="n">
        <v>34.0194</v>
      </c>
    </row>
    <row r="64" customFormat="false" ht="13.8" hidden="false" customHeight="false" outlineLevel="0" collapsed="false">
      <c r="A64" s="1" t="n">
        <v>1348</v>
      </c>
      <c r="B64" s="2" t="n">
        <v>1470.02</v>
      </c>
      <c r="C64" s="1" t="n">
        <v>1.6</v>
      </c>
      <c r="D64" s="1" t="n">
        <v>12</v>
      </c>
      <c r="E64" s="4" t="n">
        <f aca="false">D64*C64</f>
        <v>19.2</v>
      </c>
      <c r="F64" s="3" t="n">
        <v>-0.6577084</v>
      </c>
      <c r="G64" s="4" t="n">
        <v>34.2556458333333</v>
      </c>
    </row>
    <row r="65" customFormat="false" ht="13.8" hidden="false" customHeight="false" outlineLevel="0" collapsed="false">
      <c r="A65" s="5" t="n">
        <v>1352</v>
      </c>
      <c r="B65" s="6" t="n">
        <v>1439</v>
      </c>
      <c r="C65" s="5" t="n">
        <v>1.5</v>
      </c>
      <c r="D65" s="5" t="n">
        <v>12</v>
      </c>
      <c r="E65" s="7" t="n">
        <f aca="false">D65*C65</f>
        <v>18</v>
      </c>
      <c r="F65" s="3" t="n">
        <v>-0.63956472</v>
      </c>
      <c r="G65" s="7" t="n">
        <v>35.5313733333333</v>
      </c>
    </row>
    <row r="66" customFormat="false" ht="13.8" hidden="false" customHeight="false" outlineLevel="0" collapsed="false">
      <c r="A66" s="1" t="n">
        <v>1356</v>
      </c>
      <c r="B66" s="2" t="n">
        <v>1411.34</v>
      </c>
      <c r="C66" s="1" t="n">
        <v>1.31</v>
      </c>
      <c r="D66" s="1" t="n">
        <v>12</v>
      </c>
      <c r="E66" s="4" t="n">
        <f aca="false">D66*C66</f>
        <v>15.72</v>
      </c>
      <c r="F66" s="3" t="n">
        <v>-0.60327736</v>
      </c>
      <c r="G66" s="4" t="n">
        <v>38.3764223918575</v>
      </c>
    </row>
    <row r="67" customFormat="false" ht="13.8" hidden="false" customHeight="false" outlineLevel="0" collapsed="false">
      <c r="A67" s="1" t="n">
        <v>1360</v>
      </c>
      <c r="B67" s="2" t="n">
        <v>1374.64</v>
      </c>
      <c r="C67" s="1" t="n">
        <v>1.3</v>
      </c>
      <c r="D67" s="1" t="n">
        <v>12</v>
      </c>
      <c r="E67" s="4" t="n">
        <f aca="false">D67*C67</f>
        <v>15.6</v>
      </c>
      <c r="F67" s="3" t="n">
        <v>-0.57152592</v>
      </c>
      <c r="G67" s="4" t="n">
        <v>36.6362769230769</v>
      </c>
    </row>
    <row r="68" customFormat="false" ht="13.8" hidden="false" customHeight="false" outlineLevel="0" collapsed="false">
      <c r="A68" s="1" t="n">
        <v>1364</v>
      </c>
      <c r="B68" s="2" t="n">
        <v>1338.26</v>
      </c>
      <c r="C68" s="1" t="n">
        <v>1.2</v>
      </c>
      <c r="D68" s="1" t="n">
        <v>12</v>
      </c>
      <c r="E68" s="4" t="n">
        <f aca="false">D68*C68</f>
        <v>14.4</v>
      </c>
      <c r="F68" s="3" t="n">
        <v>-0.5443104</v>
      </c>
      <c r="G68" s="4" t="n">
        <v>37.7993333333333</v>
      </c>
    </row>
    <row r="69" customFormat="false" ht="13.8" hidden="false" customHeight="false" outlineLevel="0" collapsed="false">
      <c r="A69" s="1" t="n">
        <v>1368</v>
      </c>
      <c r="B69" s="2" t="n">
        <v>1308.5</v>
      </c>
      <c r="C69" s="1" t="n">
        <v>1.1</v>
      </c>
      <c r="D69" s="1" t="n">
        <v>12</v>
      </c>
      <c r="E69" s="4" t="n">
        <f aca="false">D69*C69</f>
        <v>13.2</v>
      </c>
      <c r="F69" s="3" t="n">
        <v>-0.51709488</v>
      </c>
      <c r="G69" s="4" t="n">
        <v>39.1738545454545</v>
      </c>
    </row>
    <row r="70" customFormat="false" ht="13.8" hidden="false" customHeight="false" outlineLevel="0" collapsed="false">
      <c r="A70" s="1" t="n">
        <v>1372</v>
      </c>
      <c r="B70" s="2" t="n">
        <v>1276.35</v>
      </c>
      <c r="C70" s="1" t="n">
        <v>1</v>
      </c>
      <c r="D70" s="1" t="n">
        <v>12</v>
      </c>
      <c r="E70" s="4" t="n">
        <f aca="false">D70*C70</f>
        <v>12</v>
      </c>
      <c r="F70" s="3" t="n">
        <v>-0.49441528</v>
      </c>
      <c r="G70" s="4" t="n">
        <v>41.2012733333333</v>
      </c>
    </row>
    <row r="71" customFormat="false" ht="13.8" hidden="false" customHeight="false" outlineLevel="0" collapsed="false">
      <c r="A71" s="1" t="n">
        <v>1376</v>
      </c>
      <c r="B71" s="2" t="n">
        <v>1246.03</v>
      </c>
      <c r="C71" s="1" t="n">
        <v>0.9</v>
      </c>
      <c r="D71" s="1" t="n">
        <v>12</v>
      </c>
      <c r="E71" s="4" t="n">
        <f aca="false">D71*C71</f>
        <v>10.8</v>
      </c>
      <c r="F71" s="3" t="n">
        <v>-0.47173568</v>
      </c>
      <c r="G71" s="4" t="n">
        <v>43.6792296296296</v>
      </c>
    </row>
    <row r="72" customFormat="false" ht="13.8" hidden="false" customHeight="false" outlineLevel="0" collapsed="false">
      <c r="A72" s="1" t="n">
        <v>1380</v>
      </c>
      <c r="B72" s="2" t="n">
        <v>1210.53</v>
      </c>
      <c r="C72" s="1" t="n">
        <v>0.8</v>
      </c>
      <c r="D72" s="1" t="n">
        <v>12</v>
      </c>
      <c r="E72" s="4" t="n">
        <f aca="false">D72*C72</f>
        <v>9.6</v>
      </c>
      <c r="F72" s="3" t="n">
        <v>-0.43998424</v>
      </c>
      <c r="G72" s="4" t="n">
        <v>45.8316916666667</v>
      </c>
    </row>
    <row r="73" customFormat="false" ht="13.8" hidden="false" customHeight="false" outlineLevel="0" collapsed="false">
      <c r="A73" s="1" t="n">
        <v>1384</v>
      </c>
      <c r="B73" s="2" t="n">
        <v>1168.5</v>
      </c>
      <c r="C73" s="1" t="n">
        <v>0.8</v>
      </c>
      <c r="D73" s="1" t="n">
        <v>12</v>
      </c>
      <c r="E73" s="4" t="n">
        <f aca="false">D73*C73</f>
        <v>9.6</v>
      </c>
      <c r="F73" s="3" t="n">
        <v>-0.41730464</v>
      </c>
      <c r="G73" s="4" t="n">
        <v>43.4692333333333</v>
      </c>
    </row>
    <row r="74" customFormat="false" ht="13.8" hidden="false" customHeight="false" outlineLevel="0" collapsed="false">
      <c r="A74" s="1" t="n">
        <v>1388</v>
      </c>
      <c r="B74" s="2" t="n">
        <v>1134.26</v>
      </c>
      <c r="C74" s="1" t="n">
        <v>0.7</v>
      </c>
      <c r="D74" s="1" t="n">
        <v>12</v>
      </c>
      <c r="E74" s="4" t="n">
        <f aca="false">D74*C74</f>
        <v>8.4</v>
      </c>
      <c r="F74" s="3" t="n">
        <v>-0.39008912</v>
      </c>
      <c r="G74" s="4" t="n">
        <v>46.439180952381</v>
      </c>
    </row>
    <row r="75" customFormat="false" ht="13.8" hidden="false" customHeight="false" outlineLevel="0" collapsed="false">
      <c r="A75" s="1" t="n">
        <v>1392</v>
      </c>
      <c r="B75" s="2" t="n">
        <v>1098.51</v>
      </c>
      <c r="C75" s="1" t="n">
        <v>0.6</v>
      </c>
      <c r="D75" s="1" t="n">
        <v>12</v>
      </c>
      <c r="E75" s="4" t="n">
        <f aca="false">D75*C75</f>
        <v>7.2</v>
      </c>
      <c r="F75" s="3" t="n">
        <v>-0.36740952</v>
      </c>
      <c r="G75" s="4" t="n">
        <v>51.0291</v>
      </c>
    </row>
    <row r="76" customFormat="false" ht="13.8" hidden="false" customHeight="false" outlineLevel="0" collapsed="false">
      <c r="A76" s="1" t="n">
        <v>1396</v>
      </c>
      <c r="B76" s="2" t="n">
        <v>1056.74</v>
      </c>
      <c r="C76" s="1" t="n">
        <v>0.5</v>
      </c>
      <c r="D76" s="1" t="n">
        <v>12</v>
      </c>
      <c r="E76" s="4" t="n">
        <f aca="false">D76*C76</f>
        <v>6</v>
      </c>
      <c r="F76" s="3" t="n">
        <v>-0.340194</v>
      </c>
      <c r="G76" s="4" t="n">
        <v>56.699</v>
      </c>
    </row>
    <row r="77" customFormat="false" ht="13.8" hidden="false" customHeight="false" outlineLevel="0" collapsed="false">
      <c r="A77" s="1" t="n">
        <v>1400</v>
      </c>
      <c r="B77" s="2" t="n">
        <v>1022.56</v>
      </c>
      <c r="C77" s="1" t="n">
        <v>0.5</v>
      </c>
      <c r="D77" s="1" t="n">
        <v>12</v>
      </c>
      <c r="E77" s="4" t="n">
        <f aca="false">D77*C77</f>
        <v>6</v>
      </c>
      <c r="F77" s="3" t="n">
        <v>-0.3175144</v>
      </c>
      <c r="G77" s="4" t="n">
        <v>52.9190666666667</v>
      </c>
    </row>
    <row r="78" customFormat="false" ht="13.8" hidden="false" customHeight="false" outlineLevel="0" collapsed="false">
      <c r="A78" s="1" t="n">
        <v>1404</v>
      </c>
      <c r="B78" s="2" t="n">
        <v>986.1</v>
      </c>
      <c r="C78" s="1" t="n">
        <v>0.41</v>
      </c>
      <c r="D78" s="1" t="n">
        <v>12</v>
      </c>
      <c r="E78" s="4" t="n">
        <f aca="false">D78*C78</f>
        <v>4.92</v>
      </c>
      <c r="F78" s="3" t="n">
        <v>-0.2948348</v>
      </c>
      <c r="G78" s="4" t="n">
        <v>59.9257723577236</v>
      </c>
    </row>
    <row r="79" customFormat="false" ht="13.8" hidden="false" customHeight="false" outlineLevel="0" collapsed="false">
      <c r="A79" s="1" t="n">
        <v>1408</v>
      </c>
      <c r="B79" s="2" t="n">
        <v>943.94</v>
      </c>
      <c r="C79" s="1" t="n">
        <v>0.4</v>
      </c>
      <c r="D79" s="1" t="n">
        <v>12</v>
      </c>
      <c r="E79" s="4" t="n">
        <f aca="false">D79*C79</f>
        <v>4.8</v>
      </c>
      <c r="F79" s="3" t="n">
        <v>-0.26761928</v>
      </c>
      <c r="G79" s="4" t="n">
        <v>55.7540166666667</v>
      </c>
    </row>
    <row r="80" customFormat="false" ht="13.8" hidden="false" customHeight="false" outlineLevel="0" collapsed="false">
      <c r="A80" s="1" t="n">
        <v>1412</v>
      </c>
      <c r="B80" s="2" t="n">
        <v>903.26</v>
      </c>
      <c r="C80" s="1" t="n">
        <v>0.4</v>
      </c>
      <c r="D80" s="1" t="n">
        <v>12</v>
      </c>
      <c r="E80" s="4" t="n">
        <f aca="false">D80*C80</f>
        <v>4.8</v>
      </c>
      <c r="F80" s="3" t="n">
        <v>-0.24493968</v>
      </c>
      <c r="G80" s="4" t="n">
        <v>51.0291</v>
      </c>
    </row>
    <row r="81" customFormat="false" ht="13.8" hidden="false" customHeight="false" outlineLevel="0" collapsed="false">
      <c r="A81" s="1" t="n">
        <v>1416</v>
      </c>
      <c r="B81" s="2" t="n">
        <v>864.89</v>
      </c>
      <c r="C81" s="1" t="n">
        <v>0.3</v>
      </c>
      <c r="D81" s="1" t="n">
        <v>12</v>
      </c>
      <c r="E81" s="4" t="n">
        <f aca="false">D81*C81</f>
        <v>3.6</v>
      </c>
      <c r="F81" s="3" t="n">
        <v>-0.226796</v>
      </c>
      <c r="G81" s="4" t="n">
        <v>62.9988888888889</v>
      </c>
    </row>
    <row r="82" customFormat="false" ht="13.8" hidden="false" customHeight="false" outlineLevel="0" collapsed="false">
      <c r="A82" s="1" t="n">
        <v>1420</v>
      </c>
      <c r="B82" s="2" t="n">
        <v>820.43</v>
      </c>
      <c r="C82" s="1" t="n">
        <v>0.29</v>
      </c>
      <c r="D82" s="1" t="n">
        <v>12</v>
      </c>
      <c r="E82" s="4" t="n">
        <f aca="false">D82*C82</f>
        <v>3.48</v>
      </c>
      <c r="F82" s="3" t="n">
        <v>-0.2041164</v>
      </c>
      <c r="G82" s="4" t="n">
        <v>58.6541379310345</v>
      </c>
    </row>
    <row r="83" customFormat="false" ht="13.8" hidden="false" customHeight="false" outlineLevel="0" collapsed="false">
      <c r="A83" s="1" t="n">
        <v>1424</v>
      </c>
      <c r="B83" s="2" t="n">
        <v>777.29</v>
      </c>
      <c r="C83" s="1" t="n">
        <v>0.2</v>
      </c>
      <c r="D83" s="1" t="n">
        <v>12</v>
      </c>
      <c r="E83" s="4" t="n">
        <f aca="false">D83*C83</f>
        <v>2.4</v>
      </c>
      <c r="F83" s="3" t="n">
        <v>-0.17690088</v>
      </c>
      <c r="G83" s="4" t="n">
        <v>73.7087</v>
      </c>
    </row>
    <row r="84" customFormat="false" ht="13.8" hidden="false" customHeight="false" outlineLevel="0" collapsed="false">
      <c r="A84" s="1" t="n">
        <v>1428</v>
      </c>
      <c r="B84" s="2" t="n">
        <v>737.45</v>
      </c>
      <c r="C84" s="1" t="n">
        <v>0.2</v>
      </c>
      <c r="D84" s="1" t="n">
        <v>12</v>
      </c>
      <c r="E84" s="4" t="n">
        <f aca="false">D84*C84</f>
        <v>2.4</v>
      </c>
      <c r="F84" s="3" t="n">
        <v>-0.16329312</v>
      </c>
      <c r="G84" s="4" t="n">
        <v>68.0388</v>
      </c>
    </row>
    <row r="85" customFormat="false" ht="13.8" hidden="false" customHeight="false" outlineLevel="0" collapsed="false">
      <c r="A85" s="1" t="n">
        <v>1432</v>
      </c>
      <c r="B85" s="2" t="n">
        <v>689.57</v>
      </c>
      <c r="C85" s="1" t="n">
        <v>0.2</v>
      </c>
      <c r="D85" s="1" t="n">
        <v>12</v>
      </c>
      <c r="E85" s="4" t="n">
        <f aca="false">D85*C85</f>
        <v>2.4</v>
      </c>
      <c r="F85" s="3" t="n">
        <v>-0.14514944</v>
      </c>
      <c r="G85" s="4" t="n">
        <v>60.4789333333333</v>
      </c>
    </row>
    <row r="86" customFormat="false" ht="13.8" hidden="false" customHeight="false" outlineLevel="0" collapsed="false">
      <c r="A86" s="1" t="n">
        <v>1436</v>
      </c>
      <c r="B86" s="2" t="n">
        <v>642.9</v>
      </c>
      <c r="C86" s="1" t="n">
        <v>0.1</v>
      </c>
      <c r="D86" s="1" t="n">
        <v>12</v>
      </c>
      <c r="E86" s="4" t="n">
        <f aca="false">D86*C86</f>
        <v>1.2</v>
      </c>
      <c r="F86" s="3" t="n">
        <v>-0.12246984</v>
      </c>
      <c r="G86" s="4" t="n">
        <v>102.0582</v>
      </c>
    </row>
    <row r="87" customFormat="false" ht="13.8" hidden="false" customHeight="false" outlineLevel="0" collapsed="false">
      <c r="A87" s="1" t="n">
        <v>1440</v>
      </c>
      <c r="B87" s="2" t="n">
        <v>596.77</v>
      </c>
      <c r="C87" s="1" t="n">
        <v>0.1</v>
      </c>
      <c r="D87" s="1" t="n">
        <v>12</v>
      </c>
      <c r="E87" s="4" t="n">
        <f aca="false">D87*C87</f>
        <v>1.2</v>
      </c>
      <c r="F87" s="3" t="n">
        <v>-0.10886208</v>
      </c>
      <c r="G87" s="4" t="n">
        <v>90.7184</v>
      </c>
    </row>
    <row r="88" customFormat="false" ht="13.8" hidden="false" customHeight="false" outlineLevel="0" collapsed="false">
      <c r="A88" s="1" t="n">
        <v>1444</v>
      </c>
      <c r="B88" s="2" t="n">
        <v>549.37</v>
      </c>
      <c r="C88" s="1" t="n">
        <v>0.1</v>
      </c>
      <c r="D88" s="1" t="n">
        <v>12</v>
      </c>
      <c r="E88" s="4" t="n">
        <f aca="false">D88*C88</f>
        <v>1.2</v>
      </c>
      <c r="F88" s="3" t="n">
        <v>-0.0907184</v>
      </c>
      <c r="G88" s="4" t="n">
        <v>75.5986666666667</v>
      </c>
    </row>
    <row r="89" customFormat="false" ht="13.8" hidden="false" customHeight="false" outlineLevel="0" collapsed="false">
      <c r="A89" s="1" t="n">
        <v>1448</v>
      </c>
      <c r="B89" s="2" t="n">
        <v>498.79</v>
      </c>
      <c r="C89" s="1" t="n">
        <v>0.05</v>
      </c>
      <c r="D89" s="1" t="n">
        <v>12</v>
      </c>
      <c r="E89" s="4" t="n">
        <f aca="false">D89*C89</f>
        <v>0.6</v>
      </c>
      <c r="F89" s="3" t="n">
        <v>-0.07257472</v>
      </c>
      <c r="G89" s="4" t="n">
        <v>120.957866666667</v>
      </c>
    </row>
    <row r="90" customFormat="false" ht="13.8" hidden="false" customHeight="false" outlineLevel="0" collapsed="false">
      <c r="A90" s="1" t="n">
        <v>1452</v>
      </c>
      <c r="B90" s="2" t="n">
        <v>448.35</v>
      </c>
      <c r="C90" s="1" t="n">
        <v>0.05</v>
      </c>
      <c r="D90" s="1" t="n">
        <v>12</v>
      </c>
      <c r="E90" s="4" t="n">
        <f aca="false">D90*C90</f>
        <v>0.6</v>
      </c>
      <c r="F90" s="3" t="n">
        <v>-0.05896696</v>
      </c>
      <c r="G90" s="4" t="n">
        <v>98.2782666666667</v>
      </c>
    </row>
    <row r="91" customFormat="false" ht="13.8" hidden="false" customHeight="false" outlineLevel="0" collapsed="false">
      <c r="A91" s="1" t="n">
        <v>1456</v>
      </c>
      <c r="B91" s="2" t="n">
        <v>400.48</v>
      </c>
      <c r="C91" s="1" t="n">
        <v>0.05</v>
      </c>
      <c r="D91" s="1" t="n">
        <v>12</v>
      </c>
      <c r="E91" s="4" t="n">
        <f aca="false">D91*C91</f>
        <v>0.6</v>
      </c>
      <c r="F91" s="3" t="n">
        <v>-0.0453592</v>
      </c>
      <c r="G91" s="4" t="n">
        <v>75.5986666666667</v>
      </c>
    </row>
    <row r="92" customFormat="false" ht="13.8" hidden="false" customHeight="false" outlineLevel="0" collapsed="false">
      <c r="A92" s="1" t="n">
        <v>1460</v>
      </c>
      <c r="B92" s="2" t="n">
        <v>345.81</v>
      </c>
      <c r="C92" s="1" t="n">
        <v>0.05</v>
      </c>
      <c r="D92" s="1" t="n">
        <v>12</v>
      </c>
      <c r="E92" s="4" t="n">
        <f aca="false">D92*C92</f>
        <v>0.6</v>
      </c>
      <c r="F92" s="3" t="n">
        <v>-0.03628736</v>
      </c>
      <c r="G92" s="4" t="n">
        <v>60.4789333333333</v>
      </c>
    </row>
    <row r="93" customFormat="false" ht="13.8" hidden="false" customHeight="false" outlineLevel="0" collapsed="false">
      <c r="A93" s="1" t="n">
        <v>1464</v>
      </c>
      <c r="B93" s="2" t="n">
        <v>0</v>
      </c>
      <c r="C93" s="1" t="n">
        <v>0</v>
      </c>
      <c r="D93" s="1" t="n">
        <v>12</v>
      </c>
      <c r="E93" s="4" t="n">
        <f aca="false">D93*C93</f>
        <v>0</v>
      </c>
      <c r="F93" s="3" t="n">
        <v>0</v>
      </c>
      <c r="G93" s="4" t="n">
        <v>0</v>
      </c>
    </row>
    <row r="94" customFormat="false" ht="13.8" hidden="false" customHeight="false" outlineLevel="0" collapsed="false">
      <c r="A94" s="1" t="n">
        <v>1468</v>
      </c>
      <c r="B94" s="2" t="n">
        <v>0</v>
      </c>
      <c r="C94" s="1" t="n">
        <v>0</v>
      </c>
      <c r="D94" s="1" t="n">
        <v>12</v>
      </c>
      <c r="E94" s="4" t="n">
        <f aca="false">D94*C94</f>
        <v>0</v>
      </c>
      <c r="F94" s="3" t="n">
        <v>0</v>
      </c>
      <c r="G94" s="4" t="n">
        <v>0</v>
      </c>
    </row>
    <row r="95" customFormat="false" ht="13.8" hidden="false" customHeight="false" outlineLevel="0" collapsed="false">
      <c r="A95" s="1" t="n">
        <v>1472</v>
      </c>
      <c r="B95" s="2" t="n">
        <v>0</v>
      </c>
      <c r="C95" s="1" t="n">
        <v>0</v>
      </c>
      <c r="D95" s="1" t="n">
        <v>12</v>
      </c>
      <c r="E95" s="4" t="n">
        <f aca="false">D95*C95</f>
        <v>0</v>
      </c>
      <c r="F95" s="3" t="n">
        <v>0</v>
      </c>
      <c r="G95" s="4" t="n">
        <v>0</v>
      </c>
    </row>
    <row r="96" customFormat="false" ht="13.8" hidden="false" customHeight="false" outlineLevel="0" collapsed="false">
      <c r="A96" s="1" t="n">
        <v>1476</v>
      </c>
      <c r="B96" s="2" t="n">
        <v>0</v>
      </c>
      <c r="C96" s="1" t="n">
        <v>0</v>
      </c>
      <c r="D96" s="1" t="n">
        <v>12</v>
      </c>
      <c r="E96" s="4" t="n">
        <f aca="false">D96*C96</f>
        <v>0</v>
      </c>
      <c r="F96" s="3" t="n">
        <v>0</v>
      </c>
      <c r="G96" s="4" t="n">
        <v>0</v>
      </c>
    </row>
    <row r="97" customFormat="false" ht="13.8" hidden="false" customHeight="false" outlineLevel="0" collapsed="false">
      <c r="A97" s="1" t="n">
        <v>1480</v>
      </c>
      <c r="B97" s="2" t="n">
        <v>0</v>
      </c>
      <c r="C97" s="1" t="n">
        <v>0</v>
      </c>
      <c r="D97" s="1" t="n">
        <v>12</v>
      </c>
      <c r="E97" s="4" t="n">
        <f aca="false">D97*C97</f>
        <v>0</v>
      </c>
      <c r="F97" s="3" t="n">
        <v>0</v>
      </c>
      <c r="G97" s="4" t="n">
        <v>0</v>
      </c>
    </row>
    <row r="98" customFormat="false" ht="13.8" hidden="false" customHeight="false" outlineLevel="0" collapsed="false">
      <c r="A98" s="1" t="n">
        <v>1484</v>
      </c>
      <c r="B98" s="2" t="n">
        <v>0</v>
      </c>
      <c r="C98" s="1" t="n">
        <v>0</v>
      </c>
      <c r="D98" s="1" t="n">
        <v>12</v>
      </c>
      <c r="E98" s="4" t="n">
        <f aca="false">D98*C98</f>
        <v>0</v>
      </c>
      <c r="F98" s="3" t="n">
        <v>0</v>
      </c>
      <c r="G98" s="4" t="n">
        <v>0</v>
      </c>
    </row>
    <row r="99" customFormat="false" ht="13.8" hidden="false" customHeight="false" outlineLevel="0" collapsed="false">
      <c r="A99" s="1" t="n">
        <v>1488</v>
      </c>
      <c r="B99" s="2" t="n">
        <v>0</v>
      </c>
      <c r="C99" s="1" t="n">
        <v>0</v>
      </c>
      <c r="D99" s="1" t="n">
        <v>12</v>
      </c>
      <c r="E99" s="4" t="n">
        <f aca="false">D99*C99</f>
        <v>0</v>
      </c>
      <c r="F99" s="3" t="n">
        <v>0</v>
      </c>
      <c r="G99" s="4" t="n">
        <v>0</v>
      </c>
    </row>
    <row r="100" customFormat="false" ht="13.8" hidden="false" customHeight="false" outlineLevel="0" collapsed="false">
      <c r="A100" s="1" t="n">
        <v>1492</v>
      </c>
      <c r="B100" s="2" t="n">
        <v>0</v>
      </c>
      <c r="C100" s="1" t="n">
        <v>0</v>
      </c>
      <c r="D100" s="1" t="n">
        <v>12</v>
      </c>
      <c r="E100" s="4" t="n">
        <f aca="false">D100*C100</f>
        <v>0</v>
      </c>
      <c r="F100" s="3" t="n">
        <v>0</v>
      </c>
      <c r="G100" s="4" t="n">
        <v>0</v>
      </c>
    </row>
    <row r="101" customFormat="false" ht="13.8" hidden="false" customHeight="false" outlineLevel="0" collapsed="false">
      <c r="A101" s="1" t="n">
        <v>1496</v>
      </c>
      <c r="B101" s="2" t="n">
        <v>0</v>
      </c>
      <c r="C101" s="1" t="n">
        <v>0</v>
      </c>
      <c r="D101" s="1" t="n">
        <v>12</v>
      </c>
      <c r="E101" s="4" t="n">
        <f aca="false">D101*C101</f>
        <v>0</v>
      </c>
      <c r="F101" s="3" t="n">
        <v>0</v>
      </c>
      <c r="G101" s="4" t="n">
        <v>0</v>
      </c>
    </row>
    <row r="102" customFormat="false" ht="13.8" hidden="false" customHeight="false" outlineLevel="0" collapsed="false">
      <c r="A102" s="1" t="n">
        <v>1500</v>
      </c>
      <c r="B102" s="2" t="n">
        <v>0</v>
      </c>
      <c r="C102" s="1" t="n">
        <v>0</v>
      </c>
      <c r="D102" s="1" t="n">
        <v>12</v>
      </c>
      <c r="E102" s="4" t="n">
        <f aca="false">D102*C102</f>
        <v>0</v>
      </c>
      <c r="F102" s="3" t="n">
        <v>0</v>
      </c>
      <c r="G102" s="4" t="n">
        <v>0</v>
      </c>
    </row>
    <row r="103" customFormat="false" ht="13.8" hidden="false" customHeight="false" outlineLevel="0" collapsed="false">
      <c r="A103" s="1" t="n">
        <v>1504</v>
      </c>
      <c r="B103" s="2" t="n">
        <v>0</v>
      </c>
      <c r="C103" s="1" t="n">
        <v>0</v>
      </c>
      <c r="D103" s="1" t="n">
        <v>12</v>
      </c>
      <c r="E103" s="4" t="n">
        <f aca="false">D103*C103</f>
        <v>0</v>
      </c>
      <c r="F103" s="3" t="n">
        <v>0</v>
      </c>
      <c r="G103" s="4" t="n">
        <v>0</v>
      </c>
    </row>
    <row r="104" customFormat="false" ht="13.8" hidden="false" customHeight="false" outlineLevel="0" collapsed="false">
      <c r="A104" s="1" t="n">
        <v>1508</v>
      </c>
      <c r="B104" s="2" t="n">
        <v>0</v>
      </c>
      <c r="C104" s="1" t="n">
        <v>0</v>
      </c>
      <c r="D104" s="1" t="n">
        <v>12</v>
      </c>
      <c r="E104" s="4" t="n">
        <f aca="false">D104*C104</f>
        <v>0</v>
      </c>
      <c r="F104" s="3" t="n">
        <v>0</v>
      </c>
      <c r="G104" s="4" t="n">
        <v>0</v>
      </c>
    </row>
    <row r="105" customFormat="false" ht="13.8" hidden="false" customHeight="false" outlineLevel="0" collapsed="false">
      <c r="A105" s="1" t="n">
        <v>1512</v>
      </c>
      <c r="B105" s="2" t="n">
        <v>0</v>
      </c>
      <c r="C105" s="1" t="n">
        <v>0</v>
      </c>
      <c r="D105" s="1" t="n">
        <v>12</v>
      </c>
      <c r="E105" s="4" t="n">
        <f aca="false">D105*C105</f>
        <v>0</v>
      </c>
      <c r="F105" s="3" t="n">
        <v>0</v>
      </c>
      <c r="G105" s="4" t="n">
        <v>0</v>
      </c>
    </row>
    <row r="106" customFormat="false" ht="13.8" hidden="false" customHeight="false" outlineLevel="0" collapsed="false">
      <c r="A106" s="1" t="n">
        <v>1516</v>
      </c>
      <c r="B106" s="2" t="n">
        <v>0</v>
      </c>
      <c r="C106" s="1" t="n">
        <v>0</v>
      </c>
      <c r="D106" s="1" t="n">
        <v>12</v>
      </c>
      <c r="E106" s="4" t="n">
        <f aca="false">D106*C106</f>
        <v>0</v>
      </c>
      <c r="F106" s="3" t="n">
        <v>0</v>
      </c>
      <c r="G106" s="4" t="n">
        <v>0</v>
      </c>
    </row>
    <row r="107" customFormat="false" ht="13.8" hidden="false" customHeight="false" outlineLevel="0" collapsed="false">
      <c r="A107" s="1" t="n">
        <v>1520</v>
      </c>
      <c r="B107" s="2" t="n">
        <v>0</v>
      </c>
      <c r="C107" s="1" t="n">
        <v>0</v>
      </c>
      <c r="D107" s="1" t="n">
        <v>12</v>
      </c>
      <c r="E107" s="4" t="n">
        <f aca="false">D107*C107</f>
        <v>0</v>
      </c>
      <c r="F107" s="3" t="n">
        <v>0</v>
      </c>
      <c r="G107" s="4" t="n">
        <v>0</v>
      </c>
    </row>
    <row r="108" customFormat="false" ht="13.8" hidden="false" customHeight="false" outlineLevel="0" collapsed="false">
      <c r="A108" s="1" t="n">
        <v>1524</v>
      </c>
      <c r="B108" s="2" t="n">
        <v>0</v>
      </c>
      <c r="C108" s="1" t="n">
        <v>0</v>
      </c>
      <c r="D108" s="1" t="n">
        <v>12</v>
      </c>
      <c r="E108" s="4" t="n">
        <f aca="false">D108*C108</f>
        <v>0</v>
      </c>
      <c r="F108" s="3" t="n">
        <v>0</v>
      </c>
      <c r="G108" s="4" t="n">
        <v>0</v>
      </c>
    </row>
    <row r="109" customFormat="false" ht="13.8" hidden="false" customHeight="false" outlineLevel="0" collapsed="false">
      <c r="A109" s="1" t="n">
        <v>1528</v>
      </c>
      <c r="B109" s="2" t="n">
        <v>0</v>
      </c>
      <c r="C109" s="1" t="n">
        <v>0</v>
      </c>
      <c r="D109" s="1" t="n">
        <v>12</v>
      </c>
      <c r="E109" s="4" t="n">
        <f aca="false">D109*C109</f>
        <v>0</v>
      </c>
      <c r="F109" s="3" t="n">
        <v>0</v>
      </c>
      <c r="G109" s="4" t="n">
        <v>0</v>
      </c>
    </row>
    <row r="110" customFormat="false" ht="13.8" hidden="false" customHeight="false" outlineLevel="0" collapsed="false">
      <c r="A110" s="1" t="n">
        <v>1532</v>
      </c>
      <c r="B110" s="2" t="n">
        <v>0</v>
      </c>
      <c r="C110" s="1" t="n">
        <v>0</v>
      </c>
      <c r="D110" s="1" t="n">
        <v>12</v>
      </c>
      <c r="E110" s="4" t="n">
        <f aca="false">D110*C110</f>
        <v>0</v>
      </c>
      <c r="F110" s="3" t="n">
        <v>0</v>
      </c>
      <c r="G110" s="4" t="n">
        <v>0</v>
      </c>
    </row>
    <row r="111" customFormat="false" ht="13.8" hidden="false" customHeight="false" outlineLevel="0" collapsed="false">
      <c r="A111" s="1" t="n">
        <v>1536</v>
      </c>
      <c r="B111" s="2" t="n">
        <v>0</v>
      </c>
      <c r="C111" s="1" t="n">
        <v>0</v>
      </c>
      <c r="D111" s="1" t="n">
        <v>12</v>
      </c>
      <c r="E111" s="4" t="n">
        <f aca="false">D111*C111</f>
        <v>0</v>
      </c>
      <c r="F111" s="3" t="n">
        <v>0</v>
      </c>
      <c r="G111" s="4" t="n">
        <v>0</v>
      </c>
    </row>
    <row r="112" customFormat="false" ht="13.8" hidden="false" customHeight="false" outlineLevel="0" collapsed="false">
      <c r="A112" s="1" t="n">
        <v>1540</v>
      </c>
      <c r="B112" s="2" t="n">
        <v>341.99</v>
      </c>
      <c r="C112" s="1" t="n">
        <v>0.05</v>
      </c>
      <c r="D112" s="1" t="n">
        <v>12</v>
      </c>
      <c r="E112" s="4" t="n">
        <f aca="false">D112*C112</f>
        <v>0.6</v>
      </c>
      <c r="F112" s="3" t="n">
        <v>0.04082328</v>
      </c>
      <c r="G112" s="4" t="n">
        <v>68.0388</v>
      </c>
    </row>
    <row r="113" customFormat="false" ht="13.8" hidden="false" customHeight="false" outlineLevel="0" collapsed="false">
      <c r="A113" s="1" t="n">
        <v>1544</v>
      </c>
      <c r="B113" s="2" t="n">
        <v>395.48</v>
      </c>
      <c r="C113" s="1" t="n">
        <v>0.05</v>
      </c>
      <c r="D113" s="1" t="n">
        <v>12</v>
      </c>
      <c r="E113" s="4" t="n">
        <f aca="false">D113*C113</f>
        <v>0.6</v>
      </c>
      <c r="F113" s="3" t="n">
        <v>0.05443104</v>
      </c>
      <c r="G113" s="4" t="n">
        <v>90.7184</v>
      </c>
    </row>
    <row r="114" customFormat="false" ht="13.8" hidden="false" customHeight="false" outlineLevel="0" collapsed="false">
      <c r="A114" s="1" t="n">
        <v>1548</v>
      </c>
      <c r="B114" s="2" t="n">
        <v>443.85</v>
      </c>
      <c r="C114" s="1" t="n">
        <v>0.05</v>
      </c>
      <c r="D114" s="1" t="n">
        <v>12</v>
      </c>
      <c r="E114" s="4" t="n">
        <f aca="false">D114*C114</f>
        <v>0.6</v>
      </c>
      <c r="F114" s="3" t="n">
        <v>0.07257472</v>
      </c>
      <c r="G114" s="4" t="n">
        <v>120.957866666667</v>
      </c>
    </row>
    <row r="115" customFormat="false" ht="13.8" hidden="false" customHeight="false" outlineLevel="0" collapsed="false">
      <c r="A115" s="1" t="n">
        <v>1552</v>
      </c>
      <c r="B115" s="2" t="n">
        <v>494.19</v>
      </c>
      <c r="C115" s="1" t="n">
        <v>0.1</v>
      </c>
      <c r="D115" s="1" t="n">
        <v>12</v>
      </c>
      <c r="E115" s="4" t="n">
        <f aca="false">D115*C115</f>
        <v>1.2</v>
      </c>
      <c r="F115" s="3" t="n">
        <v>0.09525432</v>
      </c>
      <c r="G115" s="4" t="n">
        <v>79.3786</v>
      </c>
    </row>
    <row r="116" customFormat="false" ht="13.8" hidden="false" customHeight="false" outlineLevel="0" collapsed="false">
      <c r="A116" s="1" t="n">
        <v>1556</v>
      </c>
      <c r="B116" s="2" t="n">
        <v>542.16</v>
      </c>
      <c r="C116" s="1" t="n">
        <v>0.1</v>
      </c>
      <c r="D116" s="1" t="n">
        <v>12</v>
      </c>
      <c r="E116" s="4" t="n">
        <f aca="false">D116*C116</f>
        <v>1.2</v>
      </c>
      <c r="F116" s="3" t="n">
        <v>0.113398</v>
      </c>
      <c r="G116" s="4" t="n">
        <v>94.4983333333333</v>
      </c>
    </row>
    <row r="117" customFormat="false" ht="13.8" hidden="false" customHeight="false" outlineLevel="0" collapsed="false">
      <c r="A117" s="1" t="n">
        <v>1560</v>
      </c>
      <c r="B117" s="2" t="n">
        <v>591.73</v>
      </c>
      <c r="C117" s="1" t="n">
        <v>0.1</v>
      </c>
      <c r="D117" s="1" t="n">
        <v>12</v>
      </c>
      <c r="E117" s="4" t="n">
        <f aca="false">D117*C117</f>
        <v>1.2</v>
      </c>
      <c r="F117" s="3" t="n">
        <v>0.13154168</v>
      </c>
      <c r="G117" s="4" t="n">
        <v>109.618066666667</v>
      </c>
    </row>
    <row r="118" customFormat="false" ht="13.8" hidden="false" customHeight="false" outlineLevel="0" collapsed="false">
      <c r="A118" s="1" t="n">
        <v>1564</v>
      </c>
      <c r="B118" s="2" t="n">
        <v>634.43</v>
      </c>
      <c r="C118" s="1" t="n">
        <v>0.1</v>
      </c>
      <c r="D118" s="1" t="n">
        <v>12</v>
      </c>
      <c r="E118" s="4" t="n">
        <f aca="false">D118*C118</f>
        <v>1.2</v>
      </c>
      <c r="F118" s="3" t="n">
        <v>0.15422128</v>
      </c>
      <c r="G118" s="4" t="n">
        <v>128.517733333333</v>
      </c>
    </row>
    <row r="119" customFormat="false" ht="13.8" hidden="false" customHeight="false" outlineLevel="0" collapsed="false">
      <c r="A119" s="1" t="n">
        <v>1568</v>
      </c>
      <c r="B119" s="2" t="n">
        <v>680.24</v>
      </c>
      <c r="C119" s="1" t="n">
        <v>0.2</v>
      </c>
      <c r="D119" s="1" t="n">
        <v>12</v>
      </c>
      <c r="E119" s="4" t="n">
        <f aca="false">D119*C119</f>
        <v>2.4</v>
      </c>
      <c r="F119" s="3" t="n">
        <v>0.17690088</v>
      </c>
      <c r="G119" s="4" t="n">
        <v>73.7087</v>
      </c>
    </row>
    <row r="120" customFormat="false" ht="13.8" hidden="false" customHeight="false" outlineLevel="0" collapsed="false">
      <c r="A120" s="1" t="n">
        <v>1572</v>
      </c>
      <c r="B120" s="2" t="n">
        <v>726.22</v>
      </c>
      <c r="C120" s="1" t="n">
        <v>0.2</v>
      </c>
      <c r="D120" s="1" t="n">
        <v>12</v>
      </c>
      <c r="E120" s="4" t="n">
        <f aca="false">D120*C120</f>
        <v>2.4</v>
      </c>
      <c r="F120" s="3" t="n">
        <v>0.19958048</v>
      </c>
      <c r="G120" s="4" t="n">
        <v>83.1585333333333</v>
      </c>
    </row>
    <row r="121" customFormat="false" ht="13.8" hidden="false" customHeight="false" outlineLevel="0" collapsed="false">
      <c r="A121" s="1" t="n">
        <v>1576</v>
      </c>
      <c r="B121" s="2" t="n">
        <v>768.34</v>
      </c>
      <c r="C121" s="1" t="n">
        <v>0.2</v>
      </c>
      <c r="D121" s="1" t="n">
        <v>12</v>
      </c>
      <c r="E121" s="4" t="n">
        <f aca="false">D121*C121</f>
        <v>2.4</v>
      </c>
      <c r="F121" s="3" t="n">
        <v>0.22226008</v>
      </c>
      <c r="G121" s="4" t="n">
        <v>92.6083666666667</v>
      </c>
    </row>
    <row r="122" customFormat="false" ht="13.8" hidden="false" customHeight="false" outlineLevel="0" collapsed="false">
      <c r="A122" s="1" t="n">
        <v>1580</v>
      </c>
      <c r="B122" s="2" t="n">
        <v>811.8</v>
      </c>
      <c r="C122" s="1" t="n">
        <v>0.3</v>
      </c>
      <c r="D122" s="1" t="n">
        <v>12</v>
      </c>
      <c r="E122" s="4" t="n">
        <f aca="false">D122*C122</f>
        <v>3.6</v>
      </c>
      <c r="F122" s="3" t="n">
        <v>0.25401152</v>
      </c>
      <c r="G122" s="4" t="n">
        <v>70.5587555555556</v>
      </c>
    </row>
    <row r="123" customFormat="false" ht="13.8" hidden="false" customHeight="false" outlineLevel="0" collapsed="false">
      <c r="A123" s="1" t="n">
        <v>1584</v>
      </c>
      <c r="B123" s="2" t="n">
        <v>850.98</v>
      </c>
      <c r="C123" s="1" t="n">
        <v>0.3</v>
      </c>
      <c r="D123" s="1" t="n">
        <v>12</v>
      </c>
      <c r="E123" s="4" t="n">
        <f aca="false">D123*C123</f>
        <v>3.6</v>
      </c>
      <c r="F123" s="3" t="n">
        <v>0.27669112</v>
      </c>
      <c r="G123" s="4" t="n">
        <v>76.8586444444445</v>
      </c>
    </row>
    <row r="124" customFormat="false" ht="13.8" hidden="false" customHeight="false" outlineLevel="0" collapsed="false">
      <c r="A124" s="1" t="n">
        <v>1588</v>
      </c>
      <c r="B124" s="2" t="n">
        <v>891.86</v>
      </c>
      <c r="C124" s="1" t="n">
        <v>0.4</v>
      </c>
      <c r="D124" s="1" t="n">
        <v>12</v>
      </c>
      <c r="E124" s="4" t="n">
        <f aca="false">D124*C124</f>
        <v>4.8</v>
      </c>
      <c r="F124" s="3" t="n">
        <v>0.30844256</v>
      </c>
      <c r="G124" s="4" t="n">
        <v>64.2588666666667</v>
      </c>
    </row>
    <row r="125" customFormat="false" ht="13.8" hidden="false" customHeight="false" outlineLevel="0" collapsed="false">
      <c r="A125" s="1" t="n">
        <v>1592</v>
      </c>
      <c r="B125" s="2" t="n">
        <v>930.88</v>
      </c>
      <c r="C125" s="1" t="n">
        <v>0.4</v>
      </c>
      <c r="D125" s="1" t="n">
        <v>12</v>
      </c>
      <c r="E125" s="4" t="n">
        <f aca="false">D125*C125</f>
        <v>4.8</v>
      </c>
      <c r="F125" s="3" t="n">
        <v>0.33112216</v>
      </c>
      <c r="G125" s="4" t="n">
        <v>68.9837833333333</v>
      </c>
    </row>
    <row r="126" customFormat="false" ht="13.8" hidden="false" customHeight="false" outlineLevel="0" collapsed="false">
      <c r="A126" s="1" t="n">
        <v>1596</v>
      </c>
      <c r="B126" s="2" t="n">
        <v>970.55</v>
      </c>
      <c r="C126" s="1" t="n">
        <v>0.5</v>
      </c>
      <c r="D126" s="1" t="n">
        <v>12</v>
      </c>
      <c r="E126" s="4" t="n">
        <f aca="false">D126*C126</f>
        <v>6</v>
      </c>
      <c r="F126" s="3" t="n">
        <v>0.36740952</v>
      </c>
      <c r="G126" s="4" t="n">
        <v>61.23492</v>
      </c>
    </row>
    <row r="127" customFormat="false" ht="13.8" hidden="false" customHeight="false" outlineLevel="0" collapsed="false">
      <c r="A127" s="1" t="n">
        <v>1600</v>
      </c>
      <c r="B127" s="2" t="n">
        <v>1008.82</v>
      </c>
      <c r="C127" s="1" t="n">
        <v>0.5</v>
      </c>
      <c r="D127" s="1" t="n">
        <v>12</v>
      </c>
      <c r="E127" s="4" t="n">
        <f aca="false">D127*C127</f>
        <v>6</v>
      </c>
      <c r="F127" s="3" t="n">
        <v>0.39462504</v>
      </c>
      <c r="G127" s="4" t="n">
        <v>65.77084</v>
      </c>
    </row>
    <row r="128" customFormat="false" ht="13.8" hidden="false" customHeight="false" outlineLevel="0" collapsed="false">
      <c r="A128" s="1" t="n">
        <v>1604</v>
      </c>
      <c r="B128" s="2" t="n">
        <v>1043.83</v>
      </c>
      <c r="C128" s="1" t="n">
        <v>0.6</v>
      </c>
      <c r="D128" s="1" t="n">
        <v>12</v>
      </c>
      <c r="E128" s="4" t="n">
        <f aca="false">D128*C128</f>
        <v>7.2</v>
      </c>
      <c r="F128" s="3" t="n">
        <v>0.42637648</v>
      </c>
      <c r="G128" s="4" t="n">
        <v>59.2189555555556</v>
      </c>
    </row>
    <row r="129" customFormat="false" ht="13.8" hidden="false" customHeight="false" outlineLevel="0" collapsed="false">
      <c r="A129" s="1" t="n">
        <v>1608</v>
      </c>
      <c r="B129" s="2" t="n">
        <v>1083.51</v>
      </c>
      <c r="C129" s="1" t="n">
        <v>0.7</v>
      </c>
      <c r="D129" s="1" t="n">
        <v>12</v>
      </c>
      <c r="E129" s="4" t="n">
        <f aca="false">D129*C129</f>
        <v>8.4</v>
      </c>
      <c r="F129" s="3" t="n">
        <v>0.45812792</v>
      </c>
      <c r="G129" s="4" t="n">
        <v>54.5390380952381</v>
      </c>
    </row>
    <row r="130" customFormat="false" ht="13.8" hidden="false" customHeight="false" outlineLevel="0" collapsed="false">
      <c r="A130" s="1" t="n">
        <v>1612</v>
      </c>
      <c r="B130" s="2" t="n">
        <v>1120.81</v>
      </c>
      <c r="C130" s="1" t="n">
        <v>0.7</v>
      </c>
      <c r="D130" s="1" t="n">
        <v>12</v>
      </c>
      <c r="E130" s="4" t="n">
        <f aca="false">D130*C130</f>
        <v>8.4</v>
      </c>
      <c r="F130" s="3" t="n">
        <v>0.48987936</v>
      </c>
      <c r="G130" s="4" t="n">
        <v>58.3189714285714</v>
      </c>
    </row>
    <row r="131" customFormat="false" ht="13.8" hidden="false" customHeight="false" outlineLevel="0" collapsed="false">
      <c r="A131" s="1" t="n">
        <v>1616</v>
      </c>
      <c r="B131" s="2" t="n">
        <v>1152.26</v>
      </c>
      <c r="C131" s="1" t="n">
        <v>0.8</v>
      </c>
      <c r="D131" s="1" t="n">
        <v>12</v>
      </c>
      <c r="E131" s="4" t="n">
        <f aca="false">D131*C131</f>
        <v>9.6</v>
      </c>
      <c r="F131" s="3" t="n">
        <v>0.51709488</v>
      </c>
      <c r="G131" s="4" t="n">
        <v>53.86405</v>
      </c>
    </row>
    <row r="132" customFormat="false" ht="13.8" hidden="false" customHeight="false" outlineLevel="0" collapsed="false">
      <c r="A132" s="1" t="n">
        <v>1620</v>
      </c>
      <c r="B132" s="2" t="n">
        <v>1186.1</v>
      </c>
      <c r="C132" s="1" t="n">
        <v>0.8</v>
      </c>
      <c r="D132" s="1" t="n">
        <v>12</v>
      </c>
      <c r="E132" s="4" t="n">
        <f aca="false">D132*C132</f>
        <v>9.6</v>
      </c>
      <c r="F132" s="3" t="n">
        <v>0.54884632</v>
      </c>
      <c r="G132" s="4" t="n">
        <v>57.1714916666667</v>
      </c>
    </row>
    <row r="133" customFormat="false" ht="13.8" hidden="false" customHeight="false" outlineLevel="0" collapsed="false">
      <c r="A133" s="1" t="n">
        <v>1624</v>
      </c>
      <c r="B133" s="2" t="n">
        <v>1227.23</v>
      </c>
      <c r="C133" s="1" t="n">
        <v>1</v>
      </c>
      <c r="D133" s="1" t="n">
        <v>12</v>
      </c>
      <c r="E133" s="4" t="n">
        <f aca="false">D133*C133</f>
        <v>12</v>
      </c>
      <c r="F133" s="3" t="n">
        <v>0.5896696</v>
      </c>
      <c r="G133" s="4" t="n">
        <v>49.1391333333333</v>
      </c>
    </row>
    <row r="134" customFormat="false" ht="13.8" hidden="false" customHeight="false" outlineLevel="0" collapsed="false">
      <c r="A134" s="1" t="n">
        <v>1628</v>
      </c>
      <c r="B134" s="2" t="n">
        <v>1262.61</v>
      </c>
      <c r="C134" s="1" t="n">
        <v>1</v>
      </c>
      <c r="D134" s="1" t="n">
        <v>12</v>
      </c>
      <c r="E134" s="4" t="n">
        <f aca="false">D134*C134</f>
        <v>12</v>
      </c>
      <c r="F134" s="3" t="n">
        <v>0.62595696</v>
      </c>
      <c r="G134" s="4" t="n">
        <v>52.16308</v>
      </c>
    </row>
    <row r="135" customFormat="false" ht="13.8" hidden="false" customHeight="false" outlineLevel="0" collapsed="false">
      <c r="A135" s="1" t="n">
        <v>1632</v>
      </c>
      <c r="B135" s="2" t="n">
        <v>1290.85</v>
      </c>
      <c r="C135" s="1" t="n">
        <v>1.1</v>
      </c>
      <c r="D135" s="1" t="n">
        <v>12</v>
      </c>
      <c r="E135" s="4" t="n">
        <f aca="false">D135*C135</f>
        <v>13.2</v>
      </c>
      <c r="F135" s="3" t="n">
        <v>0.65317248</v>
      </c>
      <c r="G135" s="4" t="n">
        <v>49.4827636363636</v>
      </c>
    </row>
    <row r="136" customFormat="false" ht="13.8" hidden="false" customHeight="false" outlineLevel="0" collapsed="false">
      <c r="A136" s="1" t="n">
        <v>1636</v>
      </c>
      <c r="B136" s="2" t="n">
        <v>1322.42</v>
      </c>
      <c r="C136" s="1" t="n">
        <v>1.2</v>
      </c>
      <c r="D136" s="1" t="n">
        <v>12</v>
      </c>
      <c r="E136" s="4" t="n">
        <f aca="false">D136*C136</f>
        <v>14.4</v>
      </c>
      <c r="F136" s="3" t="n">
        <v>0.68492392</v>
      </c>
      <c r="G136" s="4" t="n">
        <v>47.5641611111111</v>
      </c>
    </row>
    <row r="137" customFormat="false" ht="13.8" hidden="false" customHeight="false" outlineLevel="0" collapsed="false">
      <c r="A137" s="1" t="n">
        <v>1640</v>
      </c>
      <c r="B137" s="2" t="n">
        <v>1354.25</v>
      </c>
      <c r="C137" s="1" t="n">
        <v>1.3</v>
      </c>
      <c r="D137" s="1" t="n">
        <v>12</v>
      </c>
      <c r="E137" s="4" t="n">
        <f aca="false">D137*C137</f>
        <v>15.6</v>
      </c>
      <c r="F137" s="3" t="n">
        <v>0.71213944</v>
      </c>
      <c r="G137" s="4" t="n">
        <v>45.6499641025641</v>
      </c>
    </row>
    <row r="138" customFormat="false" ht="13.8" hidden="false" customHeight="false" outlineLevel="0" collapsed="false">
      <c r="A138" s="1" t="n">
        <v>1644</v>
      </c>
      <c r="B138" s="2" t="n">
        <v>1385.06</v>
      </c>
      <c r="C138" s="1" t="n">
        <v>1.4</v>
      </c>
      <c r="D138" s="1" t="n">
        <v>12</v>
      </c>
      <c r="E138" s="4" t="n">
        <f aca="false">D138*C138</f>
        <v>16.8</v>
      </c>
      <c r="F138" s="3" t="n">
        <v>0.75749864</v>
      </c>
      <c r="G138" s="4" t="n">
        <v>45.0892047619048</v>
      </c>
    </row>
    <row r="139" customFormat="false" ht="13.8" hidden="false" customHeight="false" outlineLevel="0" collapsed="false">
      <c r="A139" s="1" t="n">
        <v>1648</v>
      </c>
      <c r="B139" s="2" t="n">
        <v>1424.47</v>
      </c>
      <c r="C139" s="1" t="n">
        <v>1.5</v>
      </c>
      <c r="D139" s="1" t="n">
        <v>12</v>
      </c>
      <c r="E139" s="4" t="n">
        <f aca="false">D139*C139</f>
        <v>18</v>
      </c>
      <c r="F139" s="3" t="n">
        <v>0.78925008</v>
      </c>
      <c r="G139" s="4" t="n">
        <v>43.8472266666667</v>
      </c>
    </row>
    <row r="140" customFormat="false" ht="13.8" hidden="false" customHeight="false" outlineLevel="0" collapsed="false">
      <c r="A140" s="1" t="n">
        <v>1652</v>
      </c>
      <c r="B140" s="2" t="n">
        <v>1452.94</v>
      </c>
      <c r="C140" s="1" t="n">
        <v>1.6</v>
      </c>
      <c r="D140" s="1" t="n">
        <v>12</v>
      </c>
      <c r="E140" s="4" t="n">
        <f aca="false">D140*C140</f>
        <v>19.2</v>
      </c>
      <c r="F140" s="3" t="n">
        <v>0.83007336</v>
      </c>
      <c r="G140" s="4" t="n">
        <v>43.2329875</v>
      </c>
    </row>
    <row r="141" customFormat="false" ht="13.8" hidden="false" customHeight="false" outlineLevel="0" collapsed="false">
      <c r="A141" s="1" t="n">
        <v>1656</v>
      </c>
      <c r="B141" s="2" t="n">
        <v>1485.45</v>
      </c>
      <c r="C141" s="1" t="n">
        <v>1.7</v>
      </c>
      <c r="D141" s="1" t="n">
        <v>12</v>
      </c>
      <c r="E141" s="4" t="n">
        <f aca="false">D141*C141</f>
        <v>20.4</v>
      </c>
      <c r="F141" s="3" t="n">
        <v>0.85728888</v>
      </c>
      <c r="G141" s="4" t="n">
        <v>42.0239647058824</v>
      </c>
    </row>
    <row r="142" customFormat="false" ht="13.8" hidden="false" customHeight="false" outlineLevel="0" collapsed="false">
      <c r="A142" s="1" t="n">
        <v>1660</v>
      </c>
      <c r="B142" s="2" t="n">
        <v>1514.6</v>
      </c>
      <c r="C142" s="1" t="n">
        <v>1.8</v>
      </c>
      <c r="D142" s="1" t="n">
        <v>12</v>
      </c>
      <c r="E142" s="4" t="n">
        <f aca="false">D142*C142</f>
        <v>21.6</v>
      </c>
      <c r="F142" s="3" t="n">
        <v>0.89357624</v>
      </c>
      <c r="G142" s="4" t="n">
        <v>41.3692703703704</v>
      </c>
    </row>
    <row r="143" customFormat="false" ht="13.8" hidden="false" customHeight="false" outlineLevel="0" collapsed="false">
      <c r="A143" s="1" t="n">
        <v>1664</v>
      </c>
      <c r="B143" s="2" t="n">
        <v>1538.84</v>
      </c>
      <c r="C143" s="1" t="n">
        <v>2</v>
      </c>
      <c r="D143" s="1" t="n">
        <v>12</v>
      </c>
      <c r="E143" s="4" t="n">
        <f aca="false">D143*C143</f>
        <v>24</v>
      </c>
      <c r="F143" s="3" t="n">
        <v>0.9298636</v>
      </c>
      <c r="G143" s="4" t="n">
        <v>38.7443166666667</v>
      </c>
    </row>
    <row r="144" customFormat="false" ht="13.8" hidden="false" customHeight="false" outlineLevel="0" collapsed="false">
      <c r="A144" s="1" t="n">
        <v>1668</v>
      </c>
      <c r="B144" s="2" t="n">
        <v>1566.76</v>
      </c>
      <c r="C144" s="1" t="n">
        <v>2.1</v>
      </c>
      <c r="D144" s="1" t="n">
        <v>12</v>
      </c>
      <c r="E144" s="4" t="n">
        <f aca="false">D144*C144</f>
        <v>25.2</v>
      </c>
      <c r="F144" s="3" t="n">
        <v>0.96615096</v>
      </c>
      <c r="G144" s="4" t="n">
        <v>38.3393238095238</v>
      </c>
    </row>
    <row r="145" customFormat="false" ht="13.8" hidden="false" customHeight="false" outlineLevel="0" collapsed="false">
      <c r="A145" s="1" t="n">
        <v>1672</v>
      </c>
      <c r="B145" s="2" t="n">
        <v>1598.99</v>
      </c>
      <c r="C145" s="1" t="n">
        <v>2.2</v>
      </c>
      <c r="D145" s="1" t="n">
        <v>12</v>
      </c>
      <c r="E145" s="4" t="n">
        <f aca="false">D145*C145</f>
        <v>26.4</v>
      </c>
      <c r="F145" s="3" t="n">
        <v>1.00243832</v>
      </c>
      <c r="G145" s="4" t="n">
        <v>37.9711484848485</v>
      </c>
    </row>
    <row r="146" customFormat="false" ht="13.8" hidden="false" customHeight="false" outlineLevel="0" collapsed="false">
      <c r="A146" s="1" t="n">
        <v>1676</v>
      </c>
      <c r="B146" s="2" t="n">
        <v>1632.28</v>
      </c>
      <c r="C146" s="1" t="n">
        <v>2.3</v>
      </c>
      <c r="D146" s="1" t="n">
        <v>12</v>
      </c>
      <c r="E146" s="4" t="n">
        <f aca="false">D146*C146</f>
        <v>27.6</v>
      </c>
      <c r="F146" s="3" t="n">
        <v>1.03872568</v>
      </c>
      <c r="G146" s="4" t="n">
        <v>37.6349884057971</v>
      </c>
    </row>
    <row r="147" customFormat="false" ht="13.8" hidden="false" customHeight="false" outlineLevel="0" collapsed="false">
      <c r="A147" s="1" t="n">
        <v>1680</v>
      </c>
      <c r="B147" s="2" t="n">
        <v>1653.33</v>
      </c>
      <c r="C147" s="1" t="n">
        <v>2.5</v>
      </c>
      <c r="D147" s="1" t="n">
        <v>12</v>
      </c>
      <c r="E147" s="4" t="n">
        <f aca="false">D147*C147</f>
        <v>30</v>
      </c>
      <c r="F147" s="3" t="n">
        <v>1.08408488</v>
      </c>
      <c r="G147" s="4" t="n">
        <v>36.1361626666667</v>
      </c>
    </row>
    <row r="148" customFormat="false" ht="13.8" hidden="false" customHeight="false" outlineLevel="0" collapsed="false">
      <c r="A148" s="1" t="n">
        <v>1684</v>
      </c>
      <c r="B148" s="2" t="n">
        <v>1685.54</v>
      </c>
      <c r="C148" s="1" t="n">
        <v>2.8</v>
      </c>
      <c r="D148" s="1" t="n">
        <v>12</v>
      </c>
      <c r="E148" s="4" t="n">
        <f aca="false">D148*C148</f>
        <v>33.6</v>
      </c>
      <c r="F148" s="3" t="n">
        <v>1.13851592</v>
      </c>
      <c r="G148" s="4" t="n">
        <v>33.8844023809524</v>
      </c>
    </row>
    <row r="149" customFormat="false" ht="13.8" hidden="false" customHeight="false" outlineLevel="0" collapsed="false">
      <c r="A149" s="1" t="n">
        <v>1688</v>
      </c>
      <c r="B149" s="2" t="n">
        <v>1715.86</v>
      </c>
      <c r="C149" s="1" t="n">
        <v>2.9</v>
      </c>
      <c r="D149" s="1" t="n">
        <v>12</v>
      </c>
      <c r="E149" s="4" t="n">
        <f aca="false">D149*C149</f>
        <v>34.8</v>
      </c>
      <c r="F149" s="3" t="n">
        <v>1.16119552</v>
      </c>
      <c r="G149" s="4" t="n">
        <v>33.3676873563218</v>
      </c>
    </row>
    <row r="150" customFormat="false" ht="13.8" hidden="false" customHeight="false" outlineLevel="0" collapsed="false">
      <c r="A150" s="1" t="n">
        <v>1692</v>
      </c>
      <c r="B150" s="2" t="n">
        <v>1741.03</v>
      </c>
      <c r="C150" s="1" t="n">
        <v>3</v>
      </c>
      <c r="D150" s="1" t="n">
        <v>12</v>
      </c>
      <c r="E150" s="4" t="n">
        <f aca="false">D150*C150</f>
        <v>36</v>
      </c>
      <c r="F150" s="3" t="n">
        <v>1.19748288</v>
      </c>
      <c r="G150" s="4" t="n">
        <v>33.2634133333333</v>
      </c>
    </row>
    <row r="151" customFormat="false" ht="13.8" hidden="false" customHeight="false" outlineLevel="0" collapsed="false">
      <c r="A151" s="1" t="n">
        <v>1696</v>
      </c>
      <c r="B151" s="2" t="n">
        <v>1768.6</v>
      </c>
      <c r="C151" s="1" t="n">
        <v>3.2</v>
      </c>
      <c r="D151" s="1" t="n">
        <v>12</v>
      </c>
      <c r="E151" s="4" t="n">
        <f aca="false">D151*C151</f>
        <v>38.4</v>
      </c>
      <c r="F151" s="3" t="n">
        <v>1.23377024</v>
      </c>
      <c r="G151" s="4" t="n">
        <v>32.1294333333333</v>
      </c>
    </row>
    <row r="152" customFormat="false" ht="13.8" hidden="false" customHeight="false" outlineLevel="0" collapsed="false">
      <c r="A152" s="1" t="n">
        <v>1700</v>
      </c>
      <c r="B152" s="2" t="n">
        <v>1796.49</v>
      </c>
      <c r="C152" s="1" t="n">
        <v>3.3</v>
      </c>
      <c r="D152" s="1" t="n">
        <v>12</v>
      </c>
      <c r="E152" s="4" t="n">
        <f aca="false">D152*C152</f>
        <v>39.6</v>
      </c>
      <c r="F152" s="3" t="n">
        <v>1.27912944</v>
      </c>
      <c r="G152" s="4" t="n">
        <v>32.3012484848485</v>
      </c>
    </row>
    <row r="153" customFormat="false" ht="13.8" hidden="false" customHeight="false" outlineLevel="0" collapsed="false">
      <c r="A153" s="1" t="n">
        <v>1704</v>
      </c>
      <c r="B153" s="2" t="n">
        <v>1824.02</v>
      </c>
      <c r="C153" s="1" t="n">
        <v>3.5</v>
      </c>
      <c r="D153" s="1" t="n">
        <v>12</v>
      </c>
      <c r="E153" s="4" t="n">
        <f aca="false">D153*C153</f>
        <v>42</v>
      </c>
      <c r="F153" s="3" t="n">
        <v>1.31088088</v>
      </c>
      <c r="G153" s="4" t="n">
        <v>31.2114495238095</v>
      </c>
    </row>
    <row r="154" customFormat="false" ht="13.8" hidden="false" customHeight="false" outlineLevel="0" collapsed="false">
      <c r="A154" s="1" t="n">
        <v>1708</v>
      </c>
      <c r="B154" s="2" t="n">
        <v>1854.47</v>
      </c>
      <c r="C154" s="1" t="n">
        <v>3.67</v>
      </c>
      <c r="D154" s="1" t="n">
        <v>12</v>
      </c>
      <c r="E154" s="4" t="n">
        <f aca="false">D154*C154</f>
        <v>44.04</v>
      </c>
      <c r="F154" s="3" t="n">
        <v>1.35170416</v>
      </c>
      <c r="G154" s="4" t="n">
        <v>30.692646684832</v>
      </c>
    </row>
    <row r="155" customFormat="false" ht="13.8" hidden="false" customHeight="false" outlineLevel="0" collapsed="false">
      <c r="A155" s="1" t="n">
        <v>1712</v>
      </c>
      <c r="B155" s="2" t="n">
        <v>1880.19</v>
      </c>
      <c r="C155" s="1" t="n">
        <v>3.8</v>
      </c>
      <c r="D155" s="1" t="n">
        <v>12</v>
      </c>
      <c r="E155" s="4" t="n">
        <f aca="false">D155*C155</f>
        <v>45.6</v>
      </c>
      <c r="F155" s="3" t="n">
        <v>1.40159928</v>
      </c>
      <c r="G155" s="4" t="n">
        <v>30.7368263157895</v>
      </c>
    </row>
    <row r="156" customFormat="false" ht="13.8" hidden="false" customHeight="false" outlineLevel="0" collapsed="false">
      <c r="A156" s="1" t="n">
        <v>1716</v>
      </c>
      <c r="B156" s="2" t="n">
        <v>1910.52</v>
      </c>
      <c r="C156" s="1" t="n">
        <v>4</v>
      </c>
      <c r="D156" s="1" t="n">
        <v>12</v>
      </c>
      <c r="E156" s="4" t="n">
        <f aca="false">D156*C156</f>
        <v>48</v>
      </c>
      <c r="F156" s="3" t="n">
        <v>1.43335072</v>
      </c>
      <c r="G156" s="4" t="n">
        <v>29.8614733333333</v>
      </c>
    </row>
    <row r="157" customFormat="false" ht="13.8" hidden="false" customHeight="false" outlineLevel="0" collapsed="false">
      <c r="A157" s="1" t="n">
        <v>1720</v>
      </c>
      <c r="B157" s="2" t="n">
        <v>1930.69</v>
      </c>
      <c r="C157" s="1" t="n">
        <v>4.2</v>
      </c>
      <c r="D157" s="1" t="n">
        <v>12</v>
      </c>
      <c r="E157" s="4" t="n">
        <f aca="false">D157*C157</f>
        <v>50.4</v>
      </c>
      <c r="F157" s="3" t="n">
        <v>1.48324584</v>
      </c>
      <c r="G157" s="4" t="n">
        <v>29.4294809523809</v>
      </c>
    </row>
    <row r="158" customFormat="false" ht="13.8" hidden="false" customHeight="false" outlineLevel="0" collapsed="false">
      <c r="A158" s="1" t="n">
        <v>1724</v>
      </c>
      <c r="B158" s="2" t="n">
        <v>1964.4</v>
      </c>
      <c r="C158" s="1" t="n">
        <v>4.4</v>
      </c>
      <c r="D158" s="1" t="n">
        <v>12</v>
      </c>
      <c r="E158" s="4" t="n">
        <f aca="false">D158*C158</f>
        <v>52.8</v>
      </c>
      <c r="F158" s="3" t="n">
        <v>1.52860504</v>
      </c>
      <c r="G158" s="4" t="n">
        <v>28.950853030303</v>
      </c>
    </row>
    <row r="159" customFormat="false" ht="13.8" hidden="false" customHeight="false" outlineLevel="0" collapsed="false">
      <c r="A159" s="1" t="n">
        <v>1728</v>
      </c>
      <c r="B159" s="2" t="n">
        <v>1995.85</v>
      </c>
      <c r="C159" s="1" t="n">
        <v>4.6</v>
      </c>
      <c r="D159" s="1" t="n">
        <v>12</v>
      </c>
      <c r="E159" s="4" t="n">
        <f aca="false">D159*C159</f>
        <v>55.2</v>
      </c>
      <c r="F159" s="3" t="n">
        <v>1.5648924</v>
      </c>
      <c r="G159" s="4" t="n">
        <v>28.3495</v>
      </c>
    </row>
    <row r="160" customFormat="false" ht="13.8" hidden="false" customHeight="false" outlineLevel="0" collapsed="false">
      <c r="A160" s="1" t="n">
        <v>1732</v>
      </c>
      <c r="B160" s="2" t="n">
        <v>2016.6</v>
      </c>
      <c r="C160" s="1" t="n">
        <v>4.8</v>
      </c>
      <c r="D160" s="1" t="n">
        <v>12</v>
      </c>
      <c r="E160" s="4" t="n">
        <f aca="false">D160*C160</f>
        <v>57.6</v>
      </c>
      <c r="F160" s="3" t="n">
        <v>1.6329312</v>
      </c>
      <c r="G160" s="4" t="n">
        <v>28.3495</v>
      </c>
    </row>
    <row r="161" customFormat="false" ht="13.8" hidden="false" customHeight="false" outlineLevel="0" collapsed="false">
      <c r="A161" s="1" t="n">
        <v>1736</v>
      </c>
      <c r="B161" s="2" t="n">
        <v>2046.42</v>
      </c>
      <c r="C161" s="1" t="n">
        <v>5</v>
      </c>
      <c r="D161" s="1" t="n">
        <v>12</v>
      </c>
      <c r="E161" s="4" t="n">
        <f aca="false">D161*C161</f>
        <v>60</v>
      </c>
      <c r="F161" s="3" t="n">
        <v>1.67375448</v>
      </c>
      <c r="G161" s="4" t="n">
        <v>27.895908</v>
      </c>
    </row>
    <row r="162" customFormat="false" ht="13.8" hidden="false" customHeight="false" outlineLevel="0" collapsed="false">
      <c r="A162" s="1" t="n">
        <v>1740</v>
      </c>
      <c r="B162" s="2" t="n">
        <v>2070.14</v>
      </c>
      <c r="C162" s="1" t="n">
        <v>5.2</v>
      </c>
      <c r="D162" s="1" t="n">
        <v>12</v>
      </c>
      <c r="E162" s="4" t="n">
        <f aca="false">D162*C162</f>
        <v>62.4</v>
      </c>
      <c r="F162" s="3" t="n">
        <v>1.71004184</v>
      </c>
      <c r="G162" s="4" t="n">
        <v>27.4045166666667</v>
      </c>
    </row>
    <row r="163" customFormat="false" ht="13.8" hidden="false" customHeight="false" outlineLevel="0" collapsed="false">
      <c r="A163" s="1" t="n">
        <v>1744</v>
      </c>
      <c r="B163" s="2" t="n">
        <v>2082.99</v>
      </c>
      <c r="C163" s="1" t="n">
        <v>5.4</v>
      </c>
      <c r="D163" s="1" t="n">
        <v>12</v>
      </c>
      <c r="E163" s="4" t="n">
        <f aca="false">D163*C163</f>
        <v>64.8</v>
      </c>
      <c r="F163" s="3" t="n">
        <v>1.7690088</v>
      </c>
      <c r="G163" s="4" t="n">
        <v>27.2995185185185</v>
      </c>
    </row>
    <row r="164" customFormat="false" ht="13.8" hidden="false" customHeight="false" outlineLevel="0" collapsed="false">
      <c r="A164" s="1" t="n">
        <v>1748</v>
      </c>
      <c r="B164" s="2" t="n">
        <v>2117.82</v>
      </c>
      <c r="C164" s="1" t="n">
        <v>5.69</v>
      </c>
      <c r="D164" s="1" t="n">
        <v>12</v>
      </c>
      <c r="E164" s="4" t="n">
        <f aca="false">D164*C164</f>
        <v>68.28</v>
      </c>
      <c r="F164" s="3" t="n">
        <v>1.81890392</v>
      </c>
      <c r="G164" s="4" t="n">
        <v>26.6388974809607</v>
      </c>
    </row>
    <row r="165" customFormat="false" ht="13.8" hidden="false" customHeight="false" outlineLevel="0" collapsed="false">
      <c r="A165" s="1" t="n">
        <v>1752</v>
      </c>
      <c r="B165" s="2" t="n">
        <v>2143.31</v>
      </c>
      <c r="C165" s="1" t="n">
        <v>5.8</v>
      </c>
      <c r="D165" s="1" t="n">
        <v>12</v>
      </c>
      <c r="E165" s="4" t="n">
        <f aca="false">D165*C165</f>
        <v>69.6</v>
      </c>
      <c r="F165" s="3" t="n">
        <v>1.84611944</v>
      </c>
      <c r="G165" s="4" t="n">
        <v>26.5247045977011</v>
      </c>
    </row>
    <row r="166" customFormat="false" ht="13.8" hidden="false" customHeight="false" outlineLevel="0" collapsed="false">
      <c r="A166" s="1" t="n">
        <v>1756</v>
      </c>
      <c r="B166" s="2" t="n">
        <v>2168.92</v>
      </c>
      <c r="C166" s="1" t="n">
        <v>6</v>
      </c>
      <c r="D166" s="1" t="n">
        <v>12</v>
      </c>
      <c r="E166" s="4" t="n">
        <f aca="false">D166*C166</f>
        <v>72</v>
      </c>
      <c r="F166" s="3" t="n">
        <v>1.9050864</v>
      </c>
      <c r="G166" s="4" t="n">
        <v>26.4595333333333</v>
      </c>
    </row>
    <row r="167" customFormat="false" ht="13.8" hidden="false" customHeight="false" outlineLevel="0" collapsed="false">
      <c r="A167" s="1" t="n">
        <v>1760</v>
      </c>
      <c r="B167" s="2" t="n">
        <v>2190.39</v>
      </c>
      <c r="C167" s="1" t="n">
        <v>6.3</v>
      </c>
      <c r="D167" s="1" t="n">
        <v>12</v>
      </c>
      <c r="E167" s="4" t="n">
        <f aca="false">D167*C167</f>
        <v>75.6</v>
      </c>
      <c r="F167" s="3" t="n">
        <v>1.92323008</v>
      </c>
      <c r="G167" s="4" t="n">
        <v>25.4395513227513</v>
      </c>
    </row>
    <row r="168" customFormat="false" ht="13.8" hidden="false" customHeight="false" outlineLevel="0" collapsed="false">
      <c r="A168" s="1" t="n">
        <v>1764</v>
      </c>
      <c r="B168" s="2" t="n">
        <v>2228.92</v>
      </c>
      <c r="C168" s="1" t="n">
        <v>6.5</v>
      </c>
      <c r="D168" s="1" t="n">
        <v>12</v>
      </c>
      <c r="E168" s="4" t="n">
        <f aca="false">D168*C168</f>
        <v>78</v>
      </c>
      <c r="F168" s="3" t="n">
        <v>1.96405336</v>
      </c>
      <c r="G168" s="4" t="n">
        <v>25.1801712820513</v>
      </c>
    </row>
    <row r="169" customFormat="false" ht="13.8" hidden="false" customHeight="false" outlineLevel="0" collapsed="false">
      <c r="A169" s="1" t="n">
        <v>1768</v>
      </c>
      <c r="B169" s="2" t="n">
        <v>2243.91</v>
      </c>
      <c r="C169" s="1" t="n">
        <v>6.7</v>
      </c>
      <c r="D169" s="1" t="n">
        <v>12</v>
      </c>
      <c r="E169" s="4" t="n">
        <f aca="false">D169*C169</f>
        <v>80.4</v>
      </c>
      <c r="F169" s="3" t="n">
        <v>2.03209216</v>
      </c>
      <c r="G169" s="4" t="n">
        <v>25.2747781094527</v>
      </c>
    </row>
    <row r="170" customFormat="false" ht="13.8" hidden="false" customHeight="false" outlineLevel="0" collapsed="false">
      <c r="A170" s="1" t="n">
        <v>1772</v>
      </c>
      <c r="B170" s="2" t="n">
        <v>2269.24</v>
      </c>
      <c r="C170" s="1" t="n">
        <v>7</v>
      </c>
      <c r="D170" s="1" t="n">
        <v>12</v>
      </c>
      <c r="E170" s="4" t="n">
        <f aca="false">D170*C170</f>
        <v>84</v>
      </c>
      <c r="F170" s="3" t="n">
        <v>2.0865232</v>
      </c>
      <c r="G170" s="4" t="n">
        <v>24.8395619047619</v>
      </c>
    </row>
    <row r="171" customFormat="false" ht="13.8" hidden="false" customHeight="false" outlineLevel="0" collapsed="false">
      <c r="A171" s="1" t="n">
        <v>1776</v>
      </c>
      <c r="B171" s="2" t="n">
        <v>2303.73</v>
      </c>
      <c r="C171" s="1" t="n">
        <v>7.2</v>
      </c>
      <c r="D171" s="1" t="n">
        <v>12</v>
      </c>
      <c r="E171" s="4" t="n">
        <f aca="false">D171*C171</f>
        <v>86.4</v>
      </c>
      <c r="F171" s="3" t="n">
        <v>2.1318824</v>
      </c>
      <c r="G171" s="4" t="n">
        <v>24.6745648148148</v>
      </c>
    </row>
    <row r="172" customFormat="false" ht="13.8" hidden="false" customHeight="false" outlineLevel="0" collapsed="false">
      <c r="A172" s="1" t="n">
        <v>1780</v>
      </c>
      <c r="B172" s="2" t="n">
        <v>2330.34</v>
      </c>
      <c r="C172" s="1" t="n">
        <v>7.5</v>
      </c>
      <c r="D172" s="1" t="n">
        <v>12</v>
      </c>
      <c r="E172" s="4" t="n">
        <f aca="false">D172*C172</f>
        <v>90</v>
      </c>
      <c r="F172" s="3" t="n">
        <v>2.1772416</v>
      </c>
      <c r="G172" s="4" t="n">
        <v>24.1915733333333</v>
      </c>
    </row>
    <row r="173" customFormat="false" ht="13.8" hidden="false" customHeight="false" outlineLevel="0" collapsed="false">
      <c r="A173" s="1" t="n">
        <v>1784</v>
      </c>
      <c r="B173" s="2" t="n">
        <v>2344.94</v>
      </c>
      <c r="C173" s="1" t="n">
        <v>7.8</v>
      </c>
      <c r="D173" s="1" t="n">
        <v>12</v>
      </c>
      <c r="E173" s="4" t="n">
        <f aca="false">D173*C173</f>
        <v>93.6</v>
      </c>
      <c r="F173" s="3" t="n">
        <v>2.23620856</v>
      </c>
      <c r="G173" s="4" t="n">
        <v>23.8911170940171</v>
      </c>
    </row>
    <row r="174" customFormat="false" ht="13.8" hidden="false" customHeight="false" outlineLevel="0" collapsed="false">
      <c r="A174" s="1" t="n">
        <v>1788</v>
      </c>
      <c r="B174" s="2" t="n">
        <v>2391.16</v>
      </c>
      <c r="C174" s="1" t="n">
        <v>8</v>
      </c>
      <c r="D174" s="1" t="n">
        <v>12</v>
      </c>
      <c r="E174" s="4" t="n">
        <f aca="false">D174*C174</f>
        <v>96</v>
      </c>
      <c r="F174" s="3" t="n">
        <v>2.27249592</v>
      </c>
      <c r="G174" s="4" t="n">
        <v>23.6718325</v>
      </c>
    </row>
    <row r="175" customFormat="false" ht="13.8" hidden="false" customHeight="false" outlineLevel="0" collapsed="false">
      <c r="A175" s="1" t="n">
        <v>1792</v>
      </c>
      <c r="B175" s="2" t="n">
        <v>2411.49</v>
      </c>
      <c r="C175" s="1" t="n">
        <v>8.32</v>
      </c>
      <c r="D175" s="1" t="n">
        <v>12</v>
      </c>
      <c r="E175" s="4" t="n">
        <f aca="false">D175*C175</f>
        <v>99.84</v>
      </c>
      <c r="F175" s="3" t="n">
        <v>2.33146288</v>
      </c>
      <c r="G175" s="4" t="n">
        <v>23.3519919871795</v>
      </c>
    </row>
    <row r="176" customFormat="false" ht="13.8" hidden="false" customHeight="false" outlineLevel="0" collapsed="false">
      <c r="A176" s="1" t="n">
        <v>1796</v>
      </c>
      <c r="B176" s="2" t="n">
        <v>2431.61</v>
      </c>
      <c r="C176" s="1" t="n">
        <v>8.64</v>
      </c>
      <c r="D176" s="1" t="n">
        <v>12</v>
      </c>
      <c r="E176" s="4" t="n">
        <f aca="false">D176*C176</f>
        <v>103.68</v>
      </c>
      <c r="F176" s="3" t="n">
        <v>2.39950168</v>
      </c>
      <c r="G176" s="4" t="n">
        <v>23.1433418209876</v>
      </c>
    </row>
    <row r="177" customFormat="false" ht="13.8" hidden="false" customHeight="false" outlineLevel="0" collapsed="false">
      <c r="A177" s="1" t="n">
        <v>1800</v>
      </c>
      <c r="B177" s="2" t="n">
        <v>2456.15</v>
      </c>
      <c r="C177" s="1" t="n">
        <v>8.9</v>
      </c>
      <c r="D177" s="1" t="n">
        <v>12</v>
      </c>
      <c r="E177" s="4" t="n">
        <f aca="false">D177*C177</f>
        <v>106.8</v>
      </c>
      <c r="F177" s="3" t="n">
        <v>2.46300456</v>
      </c>
      <c r="G177" s="4" t="n">
        <v>23.0618404494382</v>
      </c>
    </row>
    <row r="178" customFormat="false" ht="13.8" hidden="false" customHeight="false" outlineLevel="0" collapsed="false">
      <c r="A178" s="1" t="n">
        <v>1804</v>
      </c>
      <c r="B178" s="2" t="n">
        <v>2482.27</v>
      </c>
      <c r="C178" s="1" t="n">
        <v>9.24</v>
      </c>
      <c r="D178" s="1" t="n">
        <v>12</v>
      </c>
      <c r="E178" s="4" t="n">
        <f aca="false">D178*C178</f>
        <v>110.88</v>
      </c>
      <c r="F178" s="3" t="n">
        <v>2.50836376</v>
      </c>
      <c r="G178" s="4" t="n">
        <v>22.6223282828283</v>
      </c>
    </row>
    <row r="179" customFormat="false" ht="13.8" hidden="false" customHeight="false" outlineLevel="0" collapsed="false">
      <c r="A179" s="1" t="n">
        <v>1808</v>
      </c>
      <c r="B179" s="2" t="n">
        <v>2508.44</v>
      </c>
      <c r="C179" s="1" t="n">
        <v>9.5</v>
      </c>
      <c r="D179" s="1" t="n">
        <v>12</v>
      </c>
      <c r="E179" s="4" t="n">
        <f aca="false">D179*C179</f>
        <v>114</v>
      </c>
      <c r="F179" s="3" t="n">
        <v>2.5627948</v>
      </c>
      <c r="G179" s="4" t="n">
        <v>22.4806561403509</v>
      </c>
    </row>
    <row r="180" customFormat="false" ht="13.8" hidden="false" customHeight="false" outlineLevel="0" collapsed="false">
      <c r="A180" s="1" t="n">
        <v>1812</v>
      </c>
      <c r="B180" s="2" t="n">
        <v>2534.84</v>
      </c>
      <c r="C180" s="1" t="n">
        <v>9.82</v>
      </c>
      <c r="D180" s="1" t="n">
        <v>12</v>
      </c>
      <c r="E180" s="4" t="n">
        <f aca="false">D180*C180</f>
        <v>117.84</v>
      </c>
      <c r="F180" s="3" t="n">
        <v>2.61722584</v>
      </c>
      <c r="G180" s="4" t="n">
        <v>22.2099952477936</v>
      </c>
    </row>
    <row r="181" customFormat="false" ht="13.8" hidden="false" customHeight="false" outlineLevel="0" collapsed="false">
      <c r="A181" s="1" t="n">
        <v>1816</v>
      </c>
      <c r="B181" s="2" t="n">
        <v>2561.67</v>
      </c>
      <c r="C181" s="1" t="n">
        <v>10.14</v>
      </c>
      <c r="D181" s="1" t="n">
        <v>12</v>
      </c>
      <c r="E181" s="4" t="n">
        <f aca="false">D181*C181</f>
        <v>121.68</v>
      </c>
      <c r="F181" s="3" t="n">
        <v>2.6535132</v>
      </c>
      <c r="G181" s="4" t="n">
        <v>21.8073076923077</v>
      </c>
    </row>
    <row r="182" customFormat="false" ht="13.8" hidden="false" customHeight="false" outlineLevel="0" collapsed="false">
      <c r="A182" s="1" t="n">
        <v>1820</v>
      </c>
      <c r="B182" s="2" t="n">
        <v>2584.62</v>
      </c>
      <c r="C182" s="1" t="n">
        <v>10.45</v>
      </c>
      <c r="D182" s="1" t="n">
        <v>12</v>
      </c>
      <c r="E182" s="4" t="n">
        <f aca="false">D182*C182</f>
        <v>125.4</v>
      </c>
      <c r="F182" s="3" t="n">
        <v>2.71248016</v>
      </c>
      <c r="G182" s="4" t="n">
        <v>21.6306232854864</v>
      </c>
    </row>
    <row r="183" customFormat="false" ht="13.8" hidden="false" customHeight="false" outlineLevel="0" collapsed="false">
      <c r="A183" s="1" t="n">
        <v>1824</v>
      </c>
      <c r="B183" s="2" t="n">
        <v>2613.01</v>
      </c>
      <c r="C183" s="1" t="n">
        <v>10.72</v>
      </c>
      <c r="D183" s="1" t="n">
        <v>12</v>
      </c>
      <c r="E183" s="4" t="n">
        <f aca="false">D183*C183</f>
        <v>128.64</v>
      </c>
      <c r="F183" s="3" t="n">
        <v>2.77598304</v>
      </c>
      <c r="G183" s="4" t="n">
        <v>21.5794701492537</v>
      </c>
    </row>
    <row r="184" customFormat="false" ht="13.8" hidden="false" customHeight="false" outlineLevel="0" collapsed="false">
      <c r="A184" s="1" t="n">
        <v>1828</v>
      </c>
      <c r="B184" s="2" t="n">
        <v>2620.28</v>
      </c>
      <c r="C184" s="1" t="n">
        <v>11.1</v>
      </c>
      <c r="D184" s="1" t="n">
        <v>12</v>
      </c>
      <c r="E184" s="4" t="n">
        <f aca="false">D184*C184</f>
        <v>133.2</v>
      </c>
      <c r="F184" s="3" t="n">
        <v>2.84402184</v>
      </c>
      <c r="G184" s="4" t="n">
        <v>21.3515153153153</v>
      </c>
    </row>
    <row r="185" customFormat="false" ht="13.8" hidden="false" customHeight="false" outlineLevel="0" collapsed="false">
      <c r="A185" s="1" t="n">
        <v>1832</v>
      </c>
      <c r="B185" s="2" t="n">
        <v>2660.57</v>
      </c>
      <c r="C185" s="1" t="n">
        <v>11.32</v>
      </c>
      <c r="D185" s="1" t="n">
        <v>12</v>
      </c>
      <c r="E185" s="4" t="n">
        <f aca="false">D185*C185</f>
        <v>135.84</v>
      </c>
      <c r="F185" s="3" t="n">
        <v>2.87123736</v>
      </c>
      <c r="G185" s="4" t="n">
        <v>21.136906360424</v>
      </c>
    </row>
    <row r="186" customFormat="false" ht="13.8" hidden="false" customHeight="false" outlineLevel="0" collapsed="false">
      <c r="A186" s="1" t="n">
        <v>1836</v>
      </c>
      <c r="B186" s="2" t="n">
        <v>2680.69</v>
      </c>
      <c r="C186" s="1" t="n">
        <v>11.62</v>
      </c>
      <c r="D186" s="1" t="n">
        <v>12</v>
      </c>
      <c r="E186" s="4" t="n">
        <f aca="false">D186*C186</f>
        <v>139.44</v>
      </c>
      <c r="F186" s="3" t="n">
        <v>2.93020432</v>
      </c>
      <c r="G186" s="4" t="n">
        <v>21.0140872059667</v>
      </c>
    </row>
    <row r="187" customFormat="false" ht="13.8" hidden="false" customHeight="false" outlineLevel="0" collapsed="false">
      <c r="A187" s="1" t="n">
        <v>1840</v>
      </c>
      <c r="B187" s="2" t="n">
        <v>2698.45</v>
      </c>
      <c r="C187" s="1" t="n">
        <v>12.01</v>
      </c>
      <c r="D187" s="1" t="n">
        <v>12</v>
      </c>
      <c r="E187" s="4" t="n">
        <f aca="false">D187*C187</f>
        <v>144.12</v>
      </c>
      <c r="F187" s="3" t="n">
        <v>3.00731496</v>
      </c>
      <c r="G187" s="4" t="n">
        <v>20.8667427144047</v>
      </c>
    </row>
    <row r="188" customFormat="false" ht="13.8" hidden="false" customHeight="false" outlineLevel="0" collapsed="false">
      <c r="A188" s="1" t="n">
        <v>1844</v>
      </c>
      <c r="B188" s="2" t="n">
        <v>2721.1</v>
      </c>
      <c r="C188" s="1" t="n">
        <v>12.37</v>
      </c>
      <c r="D188" s="1" t="n">
        <v>12</v>
      </c>
      <c r="E188" s="4" t="n">
        <f aca="false">D188*C188</f>
        <v>148.44</v>
      </c>
      <c r="F188" s="3" t="n">
        <v>3.04360232</v>
      </c>
      <c r="G188" s="4" t="n">
        <v>20.5039229318243</v>
      </c>
    </row>
    <row r="189" customFormat="false" ht="13.8" hidden="false" customHeight="false" outlineLevel="0" collapsed="false">
      <c r="A189" s="1" t="n">
        <v>1848</v>
      </c>
      <c r="B189" s="2" t="n">
        <v>2750.81</v>
      </c>
      <c r="C189" s="1" t="n">
        <v>12.61</v>
      </c>
      <c r="D189" s="1" t="n">
        <v>12</v>
      </c>
      <c r="E189" s="4" t="n">
        <f aca="false">D189*C189</f>
        <v>151.32</v>
      </c>
      <c r="F189" s="3" t="n">
        <v>3.0844256</v>
      </c>
      <c r="G189" s="4" t="n">
        <v>20.3834628601639</v>
      </c>
    </row>
    <row r="190" customFormat="false" ht="13.8" hidden="false" customHeight="false" outlineLevel="0" collapsed="false">
      <c r="A190" s="1" t="n">
        <v>1852</v>
      </c>
      <c r="B190" s="2" t="n">
        <v>2772.88</v>
      </c>
      <c r="C190" s="1" t="n">
        <v>13.04</v>
      </c>
      <c r="D190" s="1" t="n">
        <v>12</v>
      </c>
      <c r="E190" s="4" t="n">
        <f aca="false">D190*C190</f>
        <v>156.48</v>
      </c>
      <c r="F190" s="3" t="n">
        <v>3.15700032</v>
      </c>
      <c r="G190" s="4" t="n">
        <v>20.1751042944785</v>
      </c>
    </row>
    <row r="191" customFormat="false" ht="13.8" hidden="false" customHeight="false" outlineLevel="0" collapsed="false">
      <c r="A191" s="1" t="n">
        <v>1856</v>
      </c>
      <c r="B191" s="2" t="n">
        <v>2781.82</v>
      </c>
      <c r="C191" s="1" t="n">
        <v>13.44</v>
      </c>
      <c r="D191" s="1" t="n">
        <v>12</v>
      </c>
      <c r="E191" s="4" t="n">
        <f aca="false">D191*C191</f>
        <v>161.28</v>
      </c>
      <c r="F191" s="3" t="n">
        <v>3.22503912</v>
      </c>
      <c r="G191" s="4" t="n">
        <v>19.9965223214286</v>
      </c>
    </row>
    <row r="192" customFormat="false" ht="13.8" hidden="false" customHeight="false" outlineLevel="0" collapsed="false">
      <c r="A192" s="1" t="n">
        <v>1860</v>
      </c>
      <c r="B192" s="2" t="n">
        <v>2807.61</v>
      </c>
      <c r="C192" s="1" t="n">
        <v>13.7</v>
      </c>
      <c r="D192" s="1" t="n">
        <v>12</v>
      </c>
      <c r="E192" s="4" t="n">
        <f aca="false">D192*C192</f>
        <v>164.4</v>
      </c>
      <c r="F192" s="3" t="n">
        <v>3.26132648</v>
      </c>
      <c r="G192" s="4" t="n">
        <v>19.8377523114355</v>
      </c>
    </row>
    <row r="193" customFormat="false" ht="13.8" hidden="false" customHeight="false" outlineLevel="0" collapsed="false">
      <c r="A193" s="1" t="n">
        <v>1864</v>
      </c>
      <c r="B193" s="2" t="n">
        <v>2834.87</v>
      </c>
      <c r="C193" s="1" t="n">
        <v>14.11</v>
      </c>
      <c r="D193" s="1" t="n">
        <v>12</v>
      </c>
      <c r="E193" s="4" t="n">
        <f aca="false">D193*C193</f>
        <v>169.32</v>
      </c>
      <c r="F193" s="3" t="n">
        <v>3.31575752</v>
      </c>
      <c r="G193" s="4" t="n">
        <v>19.5827871485944</v>
      </c>
    </row>
    <row r="194" customFormat="false" ht="13.8" hidden="false" customHeight="false" outlineLevel="0" collapsed="false">
      <c r="A194" s="1" t="n">
        <v>1868</v>
      </c>
      <c r="B194" s="2" t="n">
        <v>2858.8</v>
      </c>
      <c r="C194" s="1" t="n">
        <v>14.4</v>
      </c>
      <c r="D194" s="1" t="n">
        <v>12</v>
      </c>
      <c r="E194" s="4" t="n">
        <f aca="false">D194*C194</f>
        <v>172.8</v>
      </c>
      <c r="F194" s="3" t="n">
        <v>3.3792604</v>
      </c>
      <c r="G194" s="4" t="n">
        <v>19.5559050925926</v>
      </c>
    </row>
    <row r="195" customFormat="false" ht="13.8" hidden="false" customHeight="false" outlineLevel="0" collapsed="false">
      <c r="A195" s="1" t="n">
        <v>1872</v>
      </c>
      <c r="B195" s="2" t="n">
        <v>2878.87</v>
      </c>
      <c r="C195" s="1" t="n">
        <v>14.76</v>
      </c>
      <c r="D195" s="1" t="n">
        <v>12</v>
      </c>
      <c r="E195" s="4" t="n">
        <f aca="false">D195*C195</f>
        <v>177.12</v>
      </c>
      <c r="F195" s="3" t="n">
        <v>3.40194</v>
      </c>
      <c r="G195" s="4" t="n">
        <v>19.2069783197832</v>
      </c>
    </row>
    <row r="196" customFormat="false" ht="13.8" hidden="false" customHeight="false" outlineLevel="0" collapsed="false">
      <c r="A196" s="1" t="n">
        <v>1876</v>
      </c>
      <c r="B196" s="2" t="n">
        <v>2903.67</v>
      </c>
      <c r="C196" s="1" t="n">
        <v>15.13</v>
      </c>
      <c r="D196" s="1" t="n">
        <v>12</v>
      </c>
      <c r="E196" s="4" t="n">
        <f aca="false">D196*C196</f>
        <v>181.56</v>
      </c>
      <c r="F196" s="3" t="n">
        <v>3.4472992</v>
      </c>
      <c r="G196" s="4" t="n">
        <v>18.9871072923551</v>
      </c>
    </row>
    <row r="197" customFormat="false" ht="13.8" hidden="false" customHeight="false" outlineLevel="0" collapsed="false">
      <c r="A197" s="1" t="n">
        <v>1880</v>
      </c>
      <c r="B197" s="2" t="n">
        <v>2923.44</v>
      </c>
      <c r="C197" s="1" t="n">
        <v>15.52</v>
      </c>
      <c r="D197" s="1" t="n">
        <v>12</v>
      </c>
      <c r="E197" s="4" t="n">
        <f aca="false">D197*C197</f>
        <v>186.24</v>
      </c>
      <c r="F197" s="3" t="n">
        <v>3.50173024</v>
      </c>
      <c r="G197" s="4" t="n">
        <v>18.8022457044674</v>
      </c>
    </row>
    <row r="198" customFormat="false" ht="13.8" hidden="false" customHeight="false" outlineLevel="0" collapsed="false">
      <c r="A198" s="1" t="n">
        <v>1884</v>
      </c>
      <c r="B198" s="2" t="n">
        <v>2936.81</v>
      </c>
      <c r="C198" s="1" t="n">
        <v>15.87</v>
      </c>
      <c r="D198" s="1" t="n">
        <v>12</v>
      </c>
      <c r="E198" s="4" t="n">
        <f aca="false">D198*C198</f>
        <v>190.44</v>
      </c>
      <c r="F198" s="3" t="n">
        <v>3.56976904</v>
      </c>
      <c r="G198" s="4" t="n">
        <v>18.7448489813065</v>
      </c>
    </row>
    <row r="199" customFormat="false" ht="13.8" hidden="false" customHeight="false" outlineLevel="0" collapsed="false">
      <c r="A199" s="1" t="n">
        <v>1888</v>
      </c>
      <c r="B199" s="2" t="n">
        <v>2962.32</v>
      </c>
      <c r="C199" s="1" t="n">
        <v>16.3</v>
      </c>
      <c r="D199" s="1" t="n">
        <v>12</v>
      </c>
      <c r="E199" s="4" t="n">
        <f aca="false">D199*C199</f>
        <v>195.6</v>
      </c>
      <c r="F199" s="3" t="n">
        <v>3.63780784</v>
      </c>
      <c r="G199" s="4" t="n">
        <v>18.598199591002</v>
      </c>
    </row>
    <row r="200" customFormat="false" ht="13.8" hidden="false" customHeight="false" outlineLevel="0" collapsed="false">
      <c r="A200" s="1" t="n">
        <v>1892</v>
      </c>
      <c r="B200" s="2" t="n">
        <v>2976.44</v>
      </c>
      <c r="C200" s="1" t="n">
        <v>16.74</v>
      </c>
      <c r="D200" s="1" t="n">
        <v>12</v>
      </c>
      <c r="E200" s="4" t="n">
        <f aca="false">D200*C200</f>
        <v>200.88</v>
      </c>
      <c r="F200" s="3" t="n">
        <v>3.70584664</v>
      </c>
      <c r="G200" s="4" t="n">
        <v>18.4480617283951</v>
      </c>
    </row>
    <row r="201" customFormat="false" ht="13.8" hidden="false" customHeight="false" outlineLevel="0" collapsed="false">
      <c r="A201" s="1" t="n">
        <v>1896</v>
      </c>
      <c r="B201" s="2" t="n">
        <v>2993.65</v>
      </c>
      <c r="C201" s="1" t="n">
        <v>16.86</v>
      </c>
      <c r="D201" s="1" t="n">
        <v>12</v>
      </c>
      <c r="E201" s="4" t="n">
        <f aca="false">D201*C201</f>
        <v>202.32</v>
      </c>
      <c r="F201" s="3" t="n">
        <v>3.69223888</v>
      </c>
      <c r="G201" s="4" t="n">
        <v>18.2495001977066</v>
      </c>
    </row>
    <row r="202" customFormat="false" ht="13.8" hidden="false" customHeight="false" outlineLevel="0" collapsed="false">
      <c r="A202" s="1" t="n">
        <v>1900</v>
      </c>
      <c r="B202" s="2" t="n">
        <v>2994.55666666667</v>
      </c>
      <c r="C202" s="3" t="n">
        <v>16.9116666666667</v>
      </c>
      <c r="D202" s="1" t="n">
        <v>12</v>
      </c>
      <c r="E202" s="4" t="n">
        <v>202.94</v>
      </c>
      <c r="F202" s="3" t="n">
        <v>3.71416249333333</v>
      </c>
      <c r="G202" s="4" t="n">
        <v>18.3017146561565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8.75" defaultRowHeight="13.8" customHeight="false" zeroHeight="false" outlineLevelRow="0" outlineLevelCol="0"/>
  <cols>
    <col collapsed="false" customWidth="true" hidden="false" outlineLevel="0" max="1" min="1" style="1" width="9.59"/>
    <col collapsed="false" customWidth="true" hidden="false" outlineLevel="0" max="3" min="3" style="1" width="11.14"/>
    <col collapsed="false" customWidth="true" hidden="false" outlineLevel="0" max="4" min="4" style="1" width="11.43"/>
    <col collapsed="false" customWidth="true" hidden="false" outlineLevel="0" max="5" min="5" style="1" width="10.85"/>
    <col collapsed="false" customWidth="true" hidden="false" outlineLevel="0" max="6" min="6" style="1" width="11.14"/>
    <col collapsed="false" customWidth="true" hidden="false" outlineLevel="0" max="7" min="7" style="1" width="15.1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n">
        <v>1100</v>
      </c>
      <c r="B2" s="2" t="n">
        <v>3232.92666666667</v>
      </c>
      <c r="C2" s="3" t="n">
        <v>20.7066666666667</v>
      </c>
      <c r="D2" s="1" t="n">
        <v>14</v>
      </c>
      <c r="E2" s="4" t="n">
        <v>289.893333333333</v>
      </c>
      <c r="F2" s="3" t="n">
        <v>-3.51684997333333</v>
      </c>
      <c r="G2" s="4" t="n">
        <v>12.1315182474455</v>
      </c>
    </row>
    <row r="3" customFormat="false" ht="13.8" hidden="false" customHeight="false" outlineLevel="0" collapsed="false">
      <c r="A3" s="1" t="n">
        <v>1104</v>
      </c>
      <c r="B3" s="2" t="n">
        <v>3243.52</v>
      </c>
      <c r="C3" s="1" t="n">
        <v>20.63</v>
      </c>
      <c r="D3" s="1" t="n">
        <v>14</v>
      </c>
      <c r="E3" s="4" t="n">
        <f aca="false">C3*D3</f>
        <v>288.82</v>
      </c>
      <c r="F3" s="3" t="n">
        <v>-3.49719432</v>
      </c>
      <c r="G3" s="4" t="n">
        <v>12.1085600720172</v>
      </c>
    </row>
    <row r="4" customFormat="false" ht="13.8" hidden="false" customHeight="false" outlineLevel="0" collapsed="false">
      <c r="A4" s="1" t="n">
        <v>1108</v>
      </c>
      <c r="B4" s="2" t="n">
        <v>3206.35</v>
      </c>
      <c r="C4" s="1" t="n">
        <v>20.47</v>
      </c>
      <c r="D4" s="1" t="n">
        <v>14</v>
      </c>
      <c r="E4" s="4" t="n">
        <f aca="false">C4*D4</f>
        <v>286.58</v>
      </c>
      <c r="F4" s="3" t="n">
        <v>-3.4926584</v>
      </c>
      <c r="G4" s="4" t="n">
        <v>12.1873766487543</v>
      </c>
    </row>
    <row r="5" customFormat="false" ht="13.8" hidden="false" customHeight="false" outlineLevel="0" collapsed="false">
      <c r="A5" s="1" t="n">
        <v>1112</v>
      </c>
      <c r="B5" s="2" t="n">
        <v>3201.53</v>
      </c>
      <c r="C5" s="1" t="n">
        <v>19.9</v>
      </c>
      <c r="D5" s="1" t="n">
        <v>14</v>
      </c>
      <c r="E5" s="4" t="n">
        <f aca="false">C5*D5</f>
        <v>278.6</v>
      </c>
      <c r="F5" s="3" t="n">
        <v>-3.45183512</v>
      </c>
      <c r="G5" s="4" t="n">
        <v>12.3899322325915</v>
      </c>
    </row>
    <row r="6" customFormat="false" ht="13.8" hidden="false" customHeight="false" outlineLevel="0" collapsed="false">
      <c r="A6" s="1" t="n">
        <v>1116</v>
      </c>
      <c r="B6" s="2" t="n">
        <v>3173.94</v>
      </c>
      <c r="C6" s="1" t="n">
        <v>19.45</v>
      </c>
      <c r="D6" s="1" t="n">
        <v>14</v>
      </c>
      <c r="E6" s="4" t="n">
        <f aca="false">C6*D6</f>
        <v>272.3</v>
      </c>
      <c r="F6" s="3" t="n">
        <v>-3.40194</v>
      </c>
      <c r="G6" s="4" t="n">
        <v>12.493352919574</v>
      </c>
    </row>
    <row r="7" customFormat="false" ht="13.8" hidden="false" customHeight="false" outlineLevel="0" collapsed="false">
      <c r="A7" s="1" t="n">
        <v>1120</v>
      </c>
      <c r="B7" s="2" t="n">
        <v>3159.69</v>
      </c>
      <c r="C7" s="1" t="n">
        <v>18.96</v>
      </c>
      <c r="D7" s="1" t="n">
        <v>14</v>
      </c>
      <c r="E7" s="4" t="n">
        <f aca="false">C7*D7</f>
        <v>265.44</v>
      </c>
      <c r="F7" s="3" t="n">
        <v>-3.3565808</v>
      </c>
      <c r="G7" s="4" t="n">
        <v>12.6453465943339</v>
      </c>
    </row>
    <row r="8" customFormat="false" ht="13.8" hidden="false" customHeight="false" outlineLevel="0" collapsed="false">
      <c r="A8" s="1" t="n">
        <v>1124</v>
      </c>
      <c r="B8" s="2" t="n">
        <v>3143.02</v>
      </c>
      <c r="C8" s="1" t="n">
        <v>18.39</v>
      </c>
      <c r="D8" s="1" t="n">
        <v>14</v>
      </c>
      <c r="E8" s="4" t="n">
        <f aca="false">C8*D8</f>
        <v>257.46</v>
      </c>
      <c r="F8" s="3" t="n">
        <v>-3.29307792</v>
      </c>
      <c r="G8" s="4" t="n">
        <v>12.7906390118853</v>
      </c>
    </row>
    <row r="9" customFormat="false" ht="13.8" hidden="false" customHeight="false" outlineLevel="0" collapsed="false">
      <c r="A9" s="1" t="n">
        <v>1128</v>
      </c>
      <c r="B9" s="2" t="n">
        <v>3120.54</v>
      </c>
      <c r="C9" s="1" t="n">
        <v>18</v>
      </c>
      <c r="D9" s="1" t="n">
        <v>14</v>
      </c>
      <c r="E9" s="4" t="n">
        <f aca="false">C9*D9</f>
        <v>252</v>
      </c>
      <c r="F9" s="3" t="n">
        <v>-3.24771872</v>
      </c>
      <c r="G9" s="4" t="n">
        <v>12.8877726984127</v>
      </c>
    </row>
    <row r="10" customFormat="false" ht="13.8" hidden="false" customHeight="false" outlineLevel="0" collapsed="false">
      <c r="A10" s="1" t="n">
        <v>1132</v>
      </c>
      <c r="B10" s="2" t="n">
        <v>3106.98</v>
      </c>
      <c r="C10" s="1" t="n">
        <v>17.37</v>
      </c>
      <c r="D10" s="1" t="n">
        <v>14</v>
      </c>
      <c r="E10" s="4" t="n">
        <f aca="false">C10*D10</f>
        <v>243.18</v>
      </c>
      <c r="F10" s="3" t="n">
        <v>-3.18875176</v>
      </c>
      <c r="G10" s="4" t="n">
        <v>13.1127220988568</v>
      </c>
    </row>
    <row r="11" customFormat="false" ht="13.8" hidden="false" customHeight="false" outlineLevel="0" collapsed="false">
      <c r="A11" s="1" t="n">
        <v>1136</v>
      </c>
      <c r="B11" s="2" t="n">
        <v>3070.9</v>
      </c>
      <c r="C11" s="1" t="n">
        <v>16.96</v>
      </c>
      <c r="D11" s="1" t="n">
        <v>14</v>
      </c>
      <c r="E11" s="4" t="n">
        <f aca="false">C11*D11</f>
        <v>237.44</v>
      </c>
      <c r="F11" s="3" t="n">
        <v>-3.13885664</v>
      </c>
      <c r="G11" s="4" t="n">
        <v>13.2195781671159</v>
      </c>
    </row>
    <row r="12" customFormat="false" ht="13.8" hidden="false" customHeight="false" outlineLevel="0" collapsed="false">
      <c r="A12" s="1" t="n">
        <v>1140</v>
      </c>
      <c r="B12" s="2" t="n">
        <v>3048.83</v>
      </c>
      <c r="C12" s="1" t="n">
        <v>16.54</v>
      </c>
      <c r="D12" s="1" t="n">
        <v>14</v>
      </c>
      <c r="E12" s="4" t="n">
        <f aca="false">C12*D12</f>
        <v>231.56</v>
      </c>
      <c r="F12" s="3" t="n">
        <v>-3.09803336</v>
      </c>
      <c r="G12" s="4" t="n">
        <v>13.378965969943</v>
      </c>
    </row>
    <row r="13" customFormat="false" ht="13.8" hidden="false" customHeight="false" outlineLevel="0" collapsed="false">
      <c r="A13" s="1" t="n">
        <v>1144</v>
      </c>
      <c r="B13" s="2" t="n">
        <v>3025.3</v>
      </c>
      <c r="C13" s="1" t="n">
        <v>16.04</v>
      </c>
      <c r="D13" s="1" t="n">
        <v>14</v>
      </c>
      <c r="E13" s="4" t="n">
        <f aca="false">C13*D13</f>
        <v>224.56</v>
      </c>
      <c r="F13" s="3" t="n">
        <v>-3.05721008</v>
      </c>
      <c r="G13" s="4" t="n">
        <v>13.6142237263983</v>
      </c>
    </row>
    <row r="14" customFormat="false" ht="13.8" hidden="false" customHeight="false" outlineLevel="0" collapsed="false">
      <c r="A14" s="1" t="n">
        <v>1148</v>
      </c>
      <c r="B14" s="2" t="n">
        <v>3004.3</v>
      </c>
      <c r="C14" s="1" t="n">
        <v>15.64</v>
      </c>
      <c r="D14" s="1" t="n">
        <v>14</v>
      </c>
      <c r="E14" s="4" t="n">
        <f aca="false">C14*D14</f>
        <v>218.96</v>
      </c>
      <c r="F14" s="3" t="n">
        <v>-3.00277904</v>
      </c>
      <c r="G14" s="4" t="n">
        <v>13.7138246255024</v>
      </c>
    </row>
    <row r="15" customFormat="false" ht="13.8" hidden="false" customHeight="false" outlineLevel="0" collapsed="false">
      <c r="A15" s="1" t="n">
        <v>1152</v>
      </c>
      <c r="B15" s="2" t="n">
        <v>2979.37</v>
      </c>
      <c r="C15" s="1" t="n">
        <v>15.19</v>
      </c>
      <c r="D15" s="1" t="n">
        <v>14</v>
      </c>
      <c r="E15" s="4" t="n">
        <f aca="false">C15*D15</f>
        <v>212.66</v>
      </c>
      <c r="F15" s="3" t="n">
        <v>-2.93927616</v>
      </c>
      <c r="G15" s="4" t="n">
        <v>13.8214810495627</v>
      </c>
    </row>
    <row r="16" customFormat="false" ht="13.8" hidden="false" customHeight="false" outlineLevel="0" collapsed="false">
      <c r="A16" s="1" t="n">
        <v>1156</v>
      </c>
      <c r="B16" s="2" t="n">
        <v>2953.53</v>
      </c>
      <c r="C16" s="1" t="n">
        <v>14.71</v>
      </c>
      <c r="D16" s="1" t="n">
        <v>14</v>
      </c>
      <c r="E16" s="4" t="n">
        <f aca="false">C16*D16</f>
        <v>205.94</v>
      </c>
      <c r="F16" s="3" t="n">
        <v>-2.88484512</v>
      </c>
      <c r="G16" s="4" t="n">
        <v>14.0081825774497</v>
      </c>
    </row>
    <row r="17" customFormat="false" ht="13.8" hidden="false" customHeight="false" outlineLevel="0" collapsed="false">
      <c r="A17" s="1" t="n">
        <v>1160</v>
      </c>
      <c r="B17" s="2" t="n">
        <v>2936.83</v>
      </c>
      <c r="C17" s="1" t="n">
        <v>14.33</v>
      </c>
      <c r="D17" s="1" t="n">
        <v>14</v>
      </c>
      <c r="E17" s="4" t="n">
        <f aca="false">C17*D17</f>
        <v>200.62</v>
      </c>
      <c r="F17" s="3" t="n">
        <v>-2.84855776</v>
      </c>
      <c r="G17" s="4" t="n">
        <v>14.1987726049247</v>
      </c>
    </row>
    <row r="18" customFormat="false" ht="13.8" hidden="false" customHeight="false" outlineLevel="0" collapsed="false">
      <c r="A18" s="1" t="n">
        <v>1164</v>
      </c>
      <c r="B18" s="2" t="n">
        <v>2914.06</v>
      </c>
      <c r="C18" s="1" t="n">
        <v>13.93</v>
      </c>
      <c r="D18" s="1" t="n">
        <v>14</v>
      </c>
      <c r="E18" s="4" t="n">
        <f aca="false">C18*D18</f>
        <v>195.02</v>
      </c>
      <c r="F18" s="3" t="n">
        <v>-2.78051896</v>
      </c>
      <c r="G18" s="4" t="n">
        <v>14.257609270844</v>
      </c>
    </row>
    <row r="19" customFormat="false" ht="13.8" hidden="false" customHeight="false" outlineLevel="0" collapsed="false">
      <c r="A19" s="1" t="n">
        <v>1168</v>
      </c>
      <c r="B19" s="2" t="n">
        <v>2883.22</v>
      </c>
      <c r="C19" s="1" t="n">
        <v>13.57</v>
      </c>
      <c r="D19" s="1" t="n">
        <v>14</v>
      </c>
      <c r="E19" s="4" t="n">
        <f aca="false">C19*D19</f>
        <v>189.98</v>
      </c>
      <c r="F19" s="3" t="n">
        <v>-2.76237528</v>
      </c>
      <c r="G19" s="4" t="n">
        <v>14.540347826087</v>
      </c>
    </row>
    <row r="20" customFormat="false" ht="13.8" hidden="false" customHeight="false" outlineLevel="0" collapsed="false">
      <c r="A20" s="1" t="n">
        <v>1172</v>
      </c>
      <c r="B20" s="2" t="n">
        <v>2861</v>
      </c>
      <c r="C20" s="1" t="n">
        <v>13.1</v>
      </c>
      <c r="D20" s="1" t="n">
        <v>14</v>
      </c>
      <c r="E20" s="4" t="n">
        <f aca="false">C20*D20</f>
        <v>183.4</v>
      </c>
      <c r="F20" s="3" t="n">
        <v>-2.68980056</v>
      </c>
      <c r="G20" s="4" t="n">
        <v>14.6663062159215</v>
      </c>
    </row>
    <row r="21" customFormat="false" ht="13.8" hidden="false" customHeight="false" outlineLevel="0" collapsed="false">
      <c r="A21" s="1" t="n">
        <v>1176</v>
      </c>
      <c r="B21" s="2" t="n">
        <v>2847.43</v>
      </c>
      <c r="C21" s="1" t="n">
        <v>12.7</v>
      </c>
      <c r="D21" s="1" t="n">
        <v>14</v>
      </c>
      <c r="E21" s="4" t="n">
        <f aca="false">C21*D21</f>
        <v>177.8</v>
      </c>
      <c r="F21" s="3" t="n">
        <v>-2.64444136</v>
      </c>
      <c r="G21" s="4" t="n">
        <v>14.8731235095613</v>
      </c>
    </row>
    <row r="22" customFormat="false" ht="13.8" hidden="false" customHeight="false" outlineLevel="0" collapsed="false">
      <c r="A22" s="1" t="n">
        <v>1180</v>
      </c>
      <c r="B22" s="2" t="n">
        <v>2814.56</v>
      </c>
      <c r="C22" s="1" t="n">
        <v>12.4</v>
      </c>
      <c r="D22" s="1" t="n">
        <v>14</v>
      </c>
      <c r="E22" s="4" t="n">
        <f aca="false">C22*D22</f>
        <v>173.6</v>
      </c>
      <c r="F22" s="3" t="n">
        <v>-2.59454624</v>
      </c>
      <c r="G22" s="4" t="n">
        <v>14.9455428571429</v>
      </c>
    </row>
    <row r="23" customFormat="false" ht="13.8" hidden="false" customHeight="false" outlineLevel="0" collapsed="false">
      <c r="A23" s="1" t="n">
        <v>1184</v>
      </c>
      <c r="B23" s="2" t="n">
        <v>2802.26</v>
      </c>
      <c r="C23" s="1" t="n">
        <v>11.9</v>
      </c>
      <c r="D23" s="1" t="n">
        <v>14</v>
      </c>
      <c r="E23" s="4" t="n">
        <f aca="false">C23*D23</f>
        <v>166.6</v>
      </c>
      <c r="F23" s="3" t="n">
        <v>-2.52650744</v>
      </c>
      <c r="G23" s="4" t="n">
        <v>15.1651106842737</v>
      </c>
    </row>
    <row r="24" customFormat="false" ht="13.8" hidden="false" customHeight="false" outlineLevel="0" collapsed="false">
      <c r="A24" s="1" t="n">
        <v>1188</v>
      </c>
      <c r="B24" s="2" t="n">
        <v>2776.19</v>
      </c>
      <c r="C24" s="1" t="n">
        <v>11.6</v>
      </c>
      <c r="D24" s="1" t="n">
        <v>14</v>
      </c>
      <c r="E24" s="4" t="n">
        <f aca="false">C24*D24</f>
        <v>162.4</v>
      </c>
      <c r="F24" s="3" t="n">
        <v>-2.49022008</v>
      </c>
      <c r="G24" s="4" t="n">
        <v>15.3338674876847</v>
      </c>
    </row>
    <row r="25" customFormat="false" ht="13.8" hidden="false" customHeight="false" outlineLevel="0" collapsed="false">
      <c r="A25" s="1" t="n">
        <v>1192</v>
      </c>
      <c r="B25" s="2" t="n">
        <v>2739.63</v>
      </c>
      <c r="C25" s="1" t="n">
        <v>11.3</v>
      </c>
      <c r="D25" s="1" t="n">
        <v>14</v>
      </c>
      <c r="E25" s="4" t="n">
        <f aca="false">C25*D25</f>
        <v>158.2</v>
      </c>
      <c r="F25" s="3" t="n">
        <v>-2.45393272</v>
      </c>
      <c r="G25" s="4" t="n">
        <v>15.51158482933</v>
      </c>
    </row>
    <row r="26" customFormat="false" ht="13.8" hidden="false" customHeight="false" outlineLevel="0" collapsed="false">
      <c r="A26" s="1" t="n">
        <v>1196</v>
      </c>
      <c r="B26" s="2" t="n">
        <v>2704.73</v>
      </c>
      <c r="C26" s="1" t="n">
        <v>11</v>
      </c>
      <c r="D26" s="1" t="n">
        <v>14</v>
      </c>
      <c r="E26" s="4" t="n">
        <f aca="false">C26*D26</f>
        <v>154</v>
      </c>
      <c r="F26" s="3" t="n">
        <v>-2.40857352</v>
      </c>
      <c r="G26" s="4" t="n">
        <v>15.6400877922078</v>
      </c>
    </row>
    <row r="27" customFormat="false" ht="13.8" hidden="false" customHeight="false" outlineLevel="0" collapsed="false">
      <c r="A27" s="1" t="n">
        <v>1200</v>
      </c>
      <c r="B27" s="2" t="n">
        <v>2697.09</v>
      </c>
      <c r="C27" s="1" t="n">
        <v>10.6</v>
      </c>
      <c r="D27" s="1" t="n">
        <v>14</v>
      </c>
      <c r="E27" s="4" t="n">
        <f aca="false">C27*D27</f>
        <v>148.4</v>
      </c>
      <c r="F27" s="3" t="n">
        <v>-2.34960656</v>
      </c>
      <c r="G27" s="4" t="n">
        <v>15.8329283018868</v>
      </c>
    </row>
    <row r="28" customFormat="false" ht="13.8" hidden="false" customHeight="false" outlineLevel="0" collapsed="false">
      <c r="A28" s="1" t="n">
        <v>1204</v>
      </c>
      <c r="B28" s="2" t="n">
        <v>2658.7</v>
      </c>
      <c r="C28" s="1" t="n">
        <v>10.36</v>
      </c>
      <c r="D28" s="1" t="n">
        <v>14</v>
      </c>
      <c r="E28" s="4" t="n">
        <f aca="false">C28*D28</f>
        <v>145.04</v>
      </c>
      <c r="F28" s="3" t="n">
        <v>-2.3359988</v>
      </c>
      <c r="G28" s="4" t="n">
        <v>16.1058935466078</v>
      </c>
    </row>
    <row r="29" customFormat="false" ht="13.8" hidden="false" customHeight="false" outlineLevel="0" collapsed="false">
      <c r="A29" s="1" t="n">
        <v>1208</v>
      </c>
      <c r="B29" s="2" t="n">
        <v>2658.2</v>
      </c>
      <c r="C29" s="1" t="n">
        <v>9.93</v>
      </c>
      <c r="D29" s="1" t="n">
        <v>14</v>
      </c>
      <c r="E29" s="4" t="n">
        <f aca="false">C29*D29</f>
        <v>139.02</v>
      </c>
      <c r="F29" s="3" t="n">
        <v>-2.25888816</v>
      </c>
      <c r="G29" s="4" t="n">
        <v>16.2486560207164</v>
      </c>
    </row>
    <row r="30" customFormat="false" ht="13.8" hidden="false" customHeight="false" outlineLevel="0" collapsed="false">
      <c r="A30" s="1" t="n">
        <v>1212</v>
      </c>
      <c r="B30" s="2" t="n">
        <v>2619.43</v>
      </c>
      <c r="C30" s="1" t="n">
        <v>9.67</v>
      </c>
      <c r="D30" s="1" t="n">
        <v>14</v>
      </c>
      <c r="E30" s="4" t="n">
        <f aca="false">C30*D30</f>
        <v>135.38</v>
      </c>
      <c r="F30" s="3" t="n">
        <v>-2.20445712</v>
      </c>
      <c r="G30" s="4" t="n">
        <v>16.2834770276259</v>
      </c>
    </row>
    <row r="31" customFormat="false" ht="13.8" hidden="false" customHeight="false" outlineLevel="0" collapsed="false">
      <c r="A31" s="1" t="n">
        <v>1216</v>
      </c>
      <c r="B31" s="2" t="n">
        <v>2598.21</v>
      </c>
      <c r="C31" s="1" t="n">
        <v>9.33</v>
      </c>
      <c r="D31" s="1" t="n">
        <v>14</v>
      </c>
      <c r="E31" s="4" t="n">
        <f aca="false">C31*D31</f>
        <v>130.62</v>
      </c>
      <c r="F31" s="3" t="n">
        <v>-2.1772416</v>
      </c>
      <c r="G31" s="4" t="n">
        <v>16.6685163068443</v>
      </c>
    </row>
    <row r="32" customFormat="false" ht="13.8" hidden="false" customHeight="false" outlineLevel="0" collapsed="false">
      <c r="A32" s="1" t="n">
        <v>1220</v>
      </c>
      <c r="B32" s="2" t="n">
        <v>2565.53</v>
      </c>
      <c r="C32" s="1" t="n">
        <v>9</v>
      </c>
      <c r="D32" s="1" t="n">
        <v>14</v>
      </c>
      <c r="E32" s="4" t="n">
        <f aca="false">C32*D32</f>
        <v>126</v>
      </c>
      <c r="F32" s="3" t="n">
        <v>-2.11827464</v>
      </c>
      <c r="G32" s="4" t="n">
        <v>16.8117034920635</v>
      </c>
    </row>
    <row r="33" customFormat="false" ht="13.8" hidden="false" customHeight="false" outlineLevel="0" collapsed="false">
      <c r="A33" s="1" t="n">
        <v>1224</v>
      </c>
      <c r="B33" s="2" t="n">
        <v>2543.29</v>
      </c>
      <c r="C33" s="1" t="n">
        <v>8.7</v>
      </c>
      <c r="D33" s="1" t="n">
        <v>14</v>
      </c>
      <c r="E33" s="4" t="n">
        <f aca="false">C33*D33</f>
        <v>121.8</v>
      </c>
      <c r="F33" s="3" t="n">
        <v>-2.05477176</v>
      </c>
      <c r="G33" s="4" t="n">
        <v>16.8700472906404</v>
      </c>
    </row>
    <row r="34" customFormat="false" ht="13.8" hidden="false" customHeight="false" outlineLevel="0" collapsed="false">
      <c r="A34" s="1" t="n">
        <v>1228</v>
      </c>
      <c r="B34" s="2" t="n">
        <v>2503.75</v>
      </c>
      <c r="C34" s="1" t="n">
        <v>8.4</v>
      </c>
      <c r="D34" s="1" t="n">
        <v>14</v>
      </c>
      <c r="E34" s="4" t="n">
        <f aca="false">C34*D34</f>
        <v>117.6</v>
      </c>
      <c r="F34" s="3" t="n">
        <v>-2.02755624</v>
      </c>
      <c r="G34" s="4" t="n">
        <v>17.2411244897959</v>
      </c>
    </row>
    <row r="35" customFormat="false" ht="13.8" hidden="false" customHeight="false" outlineLevel="0" collapsed="false">
      <c r="A35" s="1" t="n">
        <v>1232</v>
      </c>
      <c r="B35" s="2" t="n">
        <v>2482.3</v>
      </c>
      <c r="C35" s="1" t="n">
        <v>8</v>
      </c>
      <c r="D35" s="1" t="n">
        <v>14</v>
      </c>
      <c r="E35" s="4" t="n">
        <f aca="false">C35*D35</f>
        <v>112</v>
      </c>
      <c r="F35" s="3" t="n">
        <v>-1.98673296</v>
      </c>
      <c r="G35" s="4" t="n">
        <v>17.7386871428571</v>
      </c>
    </row>
    <row r="36" customFormat="false" ht="13.8" hidden="false" customHeight="false" outlineLevel="0" collapsed="false">
      <c r="A36" s="1" t="n">
        <v>1236</v>
      </c>
      <c r="B36" s="2" t="n">
        <v>2452.4</v>
      </c>
      <c r="C36" s="1" t="n">
        <v>7.7</v>
      </c>
      <c r="D36" s="1" t="n">
        <v>14</v>
      </c>
      <c r="E36" s="4" t="n">
        <f aca="false">C36*D36</f>
        <v>107.8</v>
      </c>
      <c r="F36" s="3" t="n">
        <v>-1.90962232</v>
      </c>
      <c r="G36" s="4" t="n">
        <v>17.7144927643785</v>
      </c>
    </row>
    <row r="37" customFormat="false" ht="13.8" hidden="false" customHeight="false" outlineLevel="0" collapsed="false">
      <c r="A37" s="1" t="n">
        <v>1240</v>
      </c>
      <c r="B37" s="2" t="n">
        <v>2418.4</v>
      </c>
      <c r="C37" s="1" t="n">
        <v>7.4</v>
      </c>
      <c r="D37" s="1" t="n">
        <v>14</v>
      </c>
      <c r="E37" s="4" t="n">
        <f aca="false">C37*D37</f>
        <v>103.6</v>
      </c>
      <c r="F37" s="3" t="n">
        <v>-1.89147864</v>
      </c>
      <c r="G37" s="4" t="n">
        <v>18.2575158301158</v>
      </c>
    </row>
    <row r="38" customFormat="false" ht="13.8" hidden="false" customHeight="false" outlineLevel="0" collapsed="false">
      <c r="A38" s="1" t="n">
        <v>1244</v>
      </c>
      <c r="B38" s="2" t="n">
        <v>2404.79</v>
      </c>
      <c r="C38" s="1" t="n">
        <v>7.04</v>
      </c>
      <c r="D38" s="1" t="n">
        <v>14</v>
      </c>
      <c r="E38" s="4" t="n">
        <f aca="false">C38*D38</f>
        <v>98.56</v>
      </c>
      <c r="F38" s="3" t="n">
        <v>-1.81890392</v>
      </c>
      <c r="G38" s="4" t="n">
        <v>18.4547881493506</v>
      </c>
    </row>
    <row r="39" customFormat="false" ht="13.8" hidden="false" customHeight="false" outlineLevel="0" collapsed="false">
      <c r="A39" s="1" t="n">
        <v>1248</v>
      </c>
      <c r="B39" s="2" t="n">
        <v>2365.92</v>
      </c>
      <c r="C39" s="1" t="n">
        <v>6.8</v>
      </c>
      <c r="D39" s="1" t="n">
        <v>14</v>
      </c>
      <c r="E39" s="4" t="n">
        <f aca="false">C39*D39</f>
        <v>95.2</v>
      </c>
      <c r="F39" s="3" t="n">
        <v>-1.76447288</v>
      </c>
      <c r="G39" s="4" t="n">
        <v>18.5343789915966</v>
      </c>
    </row>
    <row r="40" customFormat="false" ht="13.8" hidden="false" customHeight="false" outlineLevel="0" collapsed="false">
      <c r="A40" s="1" t="n">
        <v>1252</v>
      </c>
      <c r="B40" s="2" t="n">
        <v>2330.73</v>
      </c>
      <c r="C40" s="1" t="n">
        <v>6.5</v>
      </c>
      <c r="D40" s="1" t="n">
        <v>14</v>
      </c>
      <c r="E40" s="4" t="n">
        <f aca="false">C40*D40</f>
        <v>91</v>
      </c>
      <c r="F40" s="3" t="n">
        <v>-1.71911368</v>
      </c>
      <c r="G40" s="4" t="n">
        <v>18.8913591208791</v>
      </c>
    </row>
    <row r="41" customFormat="false" ht="13.8" hidden="false" customHeight="false" outlineLevel="0" collapsed="false">
      <c r="A41" s="1" t="n">
        <v>1256</v>
      </c>
      <c r="B41" s="2" t="n">
        <v>2302.44</v>
      </c>
      <c r="C41" s="1" t="n">
        <v>6.29</v>
      </c>
      <c r="D41" s="1" t="n">
        <v>14</v>
      </c>
      <c r="E41" s="4" t="n">
        <f aca="false">C41*D41</f>
        <v>88.06</v>
      </c>
      <c r="F41" s="3" t="n">
        <v>-1.68282632</v>
      </c>
      <c r="G41" s="4" t="n">
        <v>19.1099968203498</v>
      </c>
    </row>
    <row r="42" customFormat="false" ht="13.8" hidden="false" customHeight="false" outlineLevel="0" collapsed="false">
      <c r="A42" s="1" t="n">
        <v>1260</v>
      </c>
      <c r="B42" s="2" t="n">
        <v>2271.3</v>
      </c>
      <c r="C42" s="1" t="n">
        <v>6</v>
      </c>
      <c r="D42" s="1" t="n">
        <v>14</v>
      </c>
      <c r="E42" s="4" t="n">
        <f aca="false">C42*D42</f>
        <v>84</v>
      </c>
      <c r="F42" s="3" t="n">
        <v>-1.6329312</v>
      </c>
      <c r="G42" s="4" t="n">
        <v>19.4396571428571</v>
      </c>
    </row>
    <row r="43" customFormat="false" ht="13.8" hidden="false" customHeight="false" outlineLevel="0" collapsed="false">
      <c r="A43" s="1" t="n">
        <v>1264</v>
      </c>
      <c r="B43" s="2" t="n">
        <v>2246.36</v>
      </c>
      <c r="C43" s="1" t="n">
        <v>5.77</v>
      </c>
      <c r="D43" s="1" t="n">
        <v>14</v>
      </c>
      <c r="E43" s="4" t="n">
        <f aca="false">C43*D43</f>
        <v>80.78</v>
      </c>
      <c r="F43" s="3" t="n">
        <v>-1.57850016</v>
      </c>
      <c r="G43" s="4" t="n">
        <v>19.5407298836346</v>
      </c>
    </row>
    <row r="44" customFormat="false" ht="13.8" hidden="false" customHeight="false" outlineLevel="0" collapsed="false">
      <c r="A44" s="1" t="n">
        <v>1268</v>
      </c>
      <c r="B44" s="2" t="n">
        <v>2220.63</v>
      </c>
      <c r="C44" s="1" t="n">
        <v>5.5</v>
      </c>
      <c r="D44" s="1" t="n">
        <v>14</v>
      </c>
      <c r="E44" s="4" t="n">
        <f aca="false">C44*D44</f>
        <v>77</v>
      </c>
      <c r="F44" s="3" t="n">
        <v>-1.5648924</v>
      </c>
      <c r="G44" s="4" t="n">
        <v>20.3232779220779</v>
      </c>
    </row>
    <row r="45" customFormat="false" ht="13.8" hidden="false" customHeight="false" outlineLevel="0" collapsed="false">
      <c r="A45" s="1" t="n">
        <v>1272</v>
      </c>
      <c r="B45" s="2" t="n">
        <v>2193.77</v>
      </c>
      <c r="C45" s="1" t="n">
        <v>5.34</v>
      </c>
      <c r="D45" s="1" t="n">
        <v>14</v>
      </c>
      <c r="E45" s="4" t="n">
        <f aca="false">C45*D45</f>
        <v>74.76</v>
      </c>
      <c r="F45" s="3" t="n">
        <v>-1.5195332</v>
      </c>
      <c r="G45" s="4" t="n">
        <v>20.3254842161584</v>
      </c>
    </row>
    <row r="46" customFormat="false" ht="13.8" hidden="false" customHeight="false" outlineLevel="0" collapsed="false">
      <c r="A46" s="1" t="n">
        <v>1276</v>
      </c>
      <c r="B46" s="2" t="n">
        <v>2170.6</v>
      </c>
      <c r="C46" s="1" t="n">
        <v>5.1</v>
      </c>
      <c r="D46" s="1" t="n">
        <v>14</v>
      </c>
      <c r="E46" s="4" t="n">
        <f aca="false">C46*D46</f>
        <v>71.4</v>
      </c>
      <c r="F46" s="3" t="n">
        <v>-1.47870992</v>
      </c>
      <c r="G46" s="4" t="n">
        <v>20.7102229691877</v>
      </c>
    </row>
    <row r="47" customFormat="false" ht="13.8" hidden="false" customHeight="false" outlineLevel="0" collapsed="false">
      <c r="A47" s="1" t="n">
        <v>1280</v>
      </c>
      <c r="B47" s="2" t="n">
        <v>2139.34</v>
      </c>
      <c r="C47" s="1" t="n">
        <v>4.9</v>
      </c>
      <c r="D47" s="1" t="n">
        <v>14</v>
      </c>
      <c r="E47" s="4" t="n">
        <f aca="false">C47*D47</f>
        <v>68.6</v>
      </c>
      <c r="F47" s="3" t="n">
        <v>-1.44242256</v>
      </c>
      <c r="G47" s="4" t="n">
        <v>21.0265679300292</v>
      </c>
    </row>
    <row r="48" customFormat="false" ht="13.8" hidden="false" customHeight="false" outlineLevel="0" collapsed="false">
      <c r="A48" s="1" t="n">
        <v>1284</v>
      </c>
      <c r="B48" s="2" t="n">
        <v>2116.44</v>
      </c>
      <c r="C48" s="1" t="n">
        <v>4.7</v>
      </c>
      <c r="D48" s="1" t="n">
        <v>14</v>
      </c>
      <c r="E48" s="4" t="n">
        <f aca="false">C48*D48</f>
        <v>65.8</v>
      </c>
      <c r="F48" s="3" t="n">
        <v>-1.40159928</v>
      </c>
      <c r="G48" s="4" t="n">
        <v>21.3009009118541</v>
      </c>
    </row>
    <row r="49" customFormat="false" ht="13.8" hidden="false" customHeight="false" outlineLevel="0" collapsed="false">
      <c r="A49" s="1" t="n">
        <v>1288</v>
      </c>
      <c r="B49" s="2" t="n">
        <v>2081.06</v>
      </c>
      <c r="C49" s="1" t="n">
        <v>4.5</v>
      </c>
      <c r="D49" s="1" t="n">
        <v>14</v>
      </c>
      <c r="E49" s="4" t="n">
        <f aca="false">C49*D49</f>
        <v>63</v>
      </c>
      <c r="F49" s="3" t="n">
        <v>-1.36984784</v>
      </c>
      <c r="G49" s="4" t="n">
        <v>21.7436165079365</v>
      </c>
    </row>
    <row r="50" customFormat="false" ht="13.8" hidden="false" customHeight="false" outlineLevel="0" collapsed="false">
      <c r="A50" s="1" t="n">
        <v>1292</v>
      </c>
      <c r="B50" s="2" t="n">
        <v>2055.76</v>
      </c>
      <c r="C50" s="1" t="n">
        <v>4.29</v>
      </c>
      <c r="D50" s="1" t="n">
        <v>14</v>
      </c>
      <c r="E50" s="4" t="n">
        <f aca="false">C50*D50</f>
        <v>60.06</v>
      </c>
      <c r="F50" s="3" t="n">
        <v>-1.32448864</v>
      </c>
      <c r="G50" s="4" t="n">
        <v>22.0527579087579</v>
      </c>
    </row>
    <row r="51" customFormat="false" ht="13.8" hidden="false" customHeight="false" outlineLevel="0" collapsed="false">
      <c r="A51" s="1" t="n">
        <v>1296</v>
      </c>
      <c r="B51" s="2" t="n">
        <v>2022.58</v>
      </c>
      <c r="C51" s="1" t="n">
        <v>4.1</v>
      </c>
      <c r="D51" s="1" t="n">
        <v>14</v>
      </c>
      <c r="E51" s="4" t="n">
        <f aca="false">C51*D51</f>
        <v>57.4</v>
      </c>
      <c r="F51" s="3" t="n">
        <v>-1.28366536</v>
      </c>
      <c r="G51" s="4" t="n">
        <v>22.3635080139373</v>
      </c>
    </row>
    <row r="52" customFormat="false" ht="13.8" hidden="false" customHeight="false" outlineLevel="0" collapsed="false">
      <c r="A52" s="1" t="n">
        <v>1300</v>
      </c>
      <c r="B52" s="2" t="n">
        <v>1994.8</v>
      </c>
      <c r="C52" s="1" t="n">
        <v>3.9</v>
      </c>
      <c r="D52" s="1" t="n">
        <v>14</v>
      </c>
      <c r="E52" s="4" t="n">
        <f aca="false">C52*D52</f>
        <v>54.6</v>
      </c>
      <c r="F52" s="3" t="n">
        <v>-1.23830616</v>
      </c>
      <c r="G52" s="4" t="n">
        <v>22.6796</v>
      </c>
    </row>
    <row r="53" customFormat="false" ht="13.8" hidden="false" customHeight="false" outlineLevel="0" collapsed="false">
      <c r="A53" s="1" t="n">
        <v>1304</v>
      </c>
      <c r="B53" s="2" t="n">
        <v>1959.18</v>
      </c>
      <c r="C53" s="1" t="n">
        <v>3.7</v>
      </c>
      <c r="D53" s="1" t="n">
        <v>14</v>
      </c>
      <c r="E53" s="4" t="n">
        <f aca="false">C53*D53</f>
        <v>51.8</v>
      </c>
      <c r="F53" s="3" t="n">
        <v>-1.19294696</v>
      </c>
      <c r="G53" s="4" t="n">
        <v>23.0298640926641</v>
      </c>
    </row>
    <row r="54" customFormat="false" ht="13.8" hidden="false" customHeight="false" outlineLevel="0" collapsed="false">
      <c r="A54" s="1" t="n">
        <v>1308</v>
      </c>
      <c r="B54" s="2" t="n">
        <v>1930.36</v>
      </c>
      <c r="C54" s="1" t="n">
        <v>3.5</v>
      </c>
      <c r="D54" s="1" t="n">
        <v>14</v>
      </c>
      <c r="E54" s="4" t="n">
        <f aca="false">C54*D54</f>
        <v>49</v>
      </c>
      <c r="F54" s="3" t="n">
        <v>-1.16573144</v>
      </c>
      <c r="G54" s="4" t="n">
        <v>23.7904375510204</v>
      </c>
    </row>
    <row r="55" customFormat="false" ht="13.8" hidden="false" customHeight="false" outlineLevel="0" collapsed="false">
      <c r="A55" s="1" t="n">
        <v>1312</v>
      </c>
      <c r="B55" s="2" t="n">
        <v>1896.19</v>
      </c>
      <c r="C55" s="1" t="n">
        <v>3.3</v>
      </c>
      <c r="D55" s="1" t="n">
        <v>14</v>
      </c>
      <c r="E55" s="4" t="n">
        <f aca="false">C55*D55</f>
        <v>46.2</v>
      </c>
      <c r="F55" s="3" t="n">
        <v>-1.12490816</v>
      </c>
      <c r="G55" s="4" t="n">
        <v>24.3486614718615</v>
      </c>
    </row>
    <row r="56" customFormat="false" ht="13.8" hidden="false" customHeight="false" outlineLevel="0" collapsed="false">
      <c r="A56" s="1" t="n">
        <v>1316</v>
      </c>
      <c r="B56" s="2" t="n">
        <v>1872.9</v>
      </c>
      <c r="C56" s="1" t="n">
        <v>3.2</v>
      </c>
      <c r="D56" s="1" t="n">
        <v>14</v>
      </c>
      <c r="E56" s="4" t="n">
        <f aca="false">C56*D56</f>
        <v>44.8</v>
      </c>
      <c r="F56" s="3" t="n">
        <v>-1.0886208</v>
      </c>
      <c r="G56" s="4" t="n">
        <v>24.2995714285714</v>
      </c>
    </row>
    <row r="57" customFormat="false" ht="13.8" hidden="false" customHeight="false" outlineLevel="0" collapsed="false">
      <c r="A57" s="1" t="n">
        <v>1320</v>
      </c>
      <c r="B57" s="2" t="n">
        <v>1838.11</v>
      </c>
      <c r="C57" s="1" t="n">
        <v>3</v>
      </c>
      <c r="D57" s="1" t="n">
        <v>14</v>
      </c>
      <c r="E57" s="4" t="n">
        <f aca="false">C57*D57</f>
        <v>42</v>
      </c>
      <c r="F57" s="3" t="n">
        <v>-1.05233344</v>
      </c>
      <c r="G57" s="4" t="n">
        <v>25.0555580952381</v>
      </c>
    </row>
    <row r="58" customFormat="false" ht="13.8" hidden="false" customHeight="false" outlineLevel="0" collapsed="false">
      <c r="A58" s="1" t="n">
        <v>1324</v>
      </c>
      <c r="B58" s="2" t="n">
        <v>1813.29</v>
      </c>
      <c r="C58" s="1" t="n">
        <v>2.9</v>
      </c>
      <c r="D58" s="1" t="n">
        <v>14</v>
      </c>
      <c r="E58" s="4" t="n">
        <f aca="false">C58*D58</f>
        <v>40.6</v>
      </c>
      <c r="F58" s="3" t="n">
        <v>-1.01604608</v>
      </c>
      <c r="G58" s="4" t="n">
        <v>25.0257655172414</v>
      </c>
    </row>
    <row r="59" customFormat="false" ht="13.8" hidden="false" customHeight="false" outlineLevel="0" collapsed="false">
      <c r="A59" s="1" t="n">
        <v>1328</v>
      </c>
      <c r="B59" s="2" t="n">
        <v>1784.61</v>
      </c>
      <c r="C59" s="1" t="n">
        <v>2.7</v>
      </c>
      <c r="D59" s="1" t="n">
        <v>14</v>
      </c>
      <c r="E59" s="4" t="n">
        <f aca="false">C59*D59</f>
        <v>37.8</v>
      </c>
      <c r="F59" s="3" t="n">
        <v>-0.98429464</v>
      </c>
      <c r="G59" s="4" t="n">
        <v>26.0395407407407</v>
      </c>
    </row>
    <row r="60" customFormat="false" ht="13.8" hidden="false" customHeight="false" outlineLevel="0" collapsed="false">
      <c r="A60" s="1" t="n">
        <v>1332</v>
      </c>
      <c r="B60" s="2" t="n">
        <v>1754.27</v>
      </c>
      <c r="C60" s="1" t="n">
        <v>2.5</v>
      </c>
      <c r="D60" s="1" t="n">
        <v>14</v>
      </c>
      <c r="E60" s="4" t="n">
        <f aca="false">C60*D60</f>
        <v>35</v>
      </c>
      <c r="F60" s="3" t="n">
        <v>-0.9525432</v>
      </c>
      <c r="G60" s="4" t="n">
        <v>27.21552</v>
      </c>
    </row>
    <row r="61" customFormat="false" ht="13.8" hidden="false" customHeight="false" outlineLevel="0" collapsed="false">
      <c r="A61" s="1" t="n">
        <v>1336</v>
      </c>
      <c r="B61" s="2" t="n">
        <v>1724.22</v>
      </c>
      <c r="C61" s="1" t="n">
        <v>2.3</v>
      </c>
      <c r="D61" s="1" t="n">
        <v>14</v>
      </c>
      <c r="E61" s="4" t="n">
        <f aca="false">C61*D61</f>
        <v>32.2</v>
      </c>
      <c r="F61" s="3" t="n">
        <v>-0.91625584</v>
      </c>
      <c r="G61" s="4" t="n">
        <v>28.455150310559</v>
      </c>
    </row>
    <row r="62" customFormat="false" ht="13.8" hidden="false" customHeight="false" outlineLevel="0" collapsed="false">
      <c r="A62" s="1" t="n">
        <v>1340</v>
      </c>
      <c r="B62" s="2" t="n">
        <v>1688.58</v>
      </c>
      <c r="C62" s="1" t="n">
        <v>2.2</v>
      </c>
      <c r="D62" s="1" t="n">
        <v>14</v>
      </c>
      <c r="E62" s="4" t="n">
        <f aca="false">C62*D62</f>
        <v>30.8</v>
      </c>
      <c r="F62" s="3" t="n">
        <v>-0.8845044</v>
      </c>
      <c r="G62" s="4" t="n">
        <v>28.7176753246753</v>
      </c>
    </row>
    <row r="63" customFormat="false" ht="13.8" hidden="false" customHeight="false" outlineLevel="0" collapsed="false">
      <c r="A63" s="1" t="n">
        <v>1344</v>
      </c>
      <c r="B63" s="2" t="n">
        <v>1658.74</v>
      </c>
      <c r="C63" s="1" t="n">
        <v>2</v>
      </c>
      <c r="D63" s="1" t="n">
        <v>14</v>
      </c>
      <c r="E63" s="4" t="n">
        <f aca="false">C63*D63</f>
        <v>28</v>
      </c>
      <c r="F63" s="3" t="n">
        <v>-0.84821704</v>
      </c>
      <c r="G63" s="4" t="n">
        <v>30.2934657142857</v>
      </c>
    </row>
    <row r="64" customFormat="false" ht="13.8" hidden="false" customHeight="false" outlineLevel="0" collapsed="false">
      <c r="A64" s="1" t="n">
        <v>1348</v>
      </c>
      <c r="B64" s="2" t="n">
        <v>1624.8</v>
      </c>
      <c r="C64" s="1" t="n">
        <v>1.9</v>
      </c>
      <c r="D64" s="1" t="n">
        <v>14</v>
      </c>
      <c r="E64" s="4" t="n">
        <f aca="false">C64*D64</f>
        <v>26.6</v>
      </c>
      <c r="F64" s="3" t="n">
        <v>-0.80739376</v>
      </c>
      <c r="G64" s="4" t="n">
        <v>30.3531488721805</v>
      </c>
    </row>
    <row r="65" customFormat="false" ht="13.8" hidden="false" customHeight="false" outlineLevel="0" collapsed="false">
      <c r="A65" s="1" t="n">
        <v>1352</v>
      </c>
      <c r="B65" s="2" t="n">
        <v>1589.51</v>
      </c>
      <c r="C65" s="1" t="n">
        <v>1.7</v>
      </c>
      <c r="D65" s="1" t="n">
        <v>14</v>
      </c>
      <c r="E65" s="4" t="n">
        <f aca="false">C65*D65</f>
        <v>23.8</v>
      </c>
      <c r="F65" s="3" t="n">
        <v>-0.76657048</v>
      </c>
      <c r="G65" s="4" t="n">
        <v>32.208843697479</v>
      </c>
    </row>
    <row r="66" customFormat="false" ht="13.8" hidden="false" customHeight="false" outlineLevel="0" collapsed="false">
      <c r="A66" s="1" t="n">
        <v>1356</v>
      </c>
      <c r="B66" s="2" t="n">
        <v>1552.32</v>
      </c>
      <c r="C66" s="1" t="n">
        <v>1.6</v>
      </c>
      <c r="D66" s="1" t="n">
        <v>14</v>
      </c>
      <c r="E66" s="4" t="n">
        <f aca="false">C66*D66</f>
        <v>22.4</v>
      </c>
      <c r="F66" s="3" t="n">
        <v>-0.73935496</v>
      </c>
      <c r="G66" s="4" t="n">
        <v>33.0069178571429</v>
      </c>
    </row>
    <row r="67" customFormat="false" ht="13.8" hidden="false" customHeight="false" outlineLevel="0" collapsed="false">
      <c r="A67" s="1" t="n">
        <v>1360</v>
      </c>
      <c r="B67" s="2" t="n">
        <v>1523.47</v>
      </c>
      <c r="C67" s="1" t="n">
        <v>1.5</v>
      </c>
      <c r="D67" s="1" t="n">
        <v>14</v>
      </c>
      <c r="E67" s="4" t="n">
        <f aca="false">C67*D67</f>
        <v>21</v>
      </c>
      <c r="F67" s="3" t="n">
        <v>-0.7030676</v>
      </c>
      <c r="G67" s="4" t="n">
        <v>33.4794095238095</v>
      </c>
    </row>
    <row r="68" customFormat="false" ht="13.8" hidden="false" customHeight="false" outlineLevel="0" collapsed="false">
      <c r="A68" s="1" t="n">
        <v>1364</v>
      </c>
      <c r="B68" s="2" t="n">
        <v>1487.32</v>
      </c>
      <c r="C68" s="1" t="n">
        <v>1.4</v>
      </c>
      <c r="D68" s="1" t="n">
        <v>14</v>
      </c>
      <c r="E68" s="4" t="n">
        <f aca="false">C68*D68</f>
        <v>19.6</v>
      </c>
      <c r="F68" s="3" t="n">
        <v>-0.680388</v>
      </c>
      <c r="G68" s="4" t="n">
        <v>34.7136734693878</v>
      </c>
    </row>
    <row r="69" customFormat="false" ht="13.8" hidden="false" customHeight="false" outlineLevel="0" collapsed="false">
      <c r="A69" s="1" t="n">
        <v>1368</v>
      </c>
      <c r="B69" s="2" t="n">
        <v>1455.15</v>
      </c>
      <c r="C69" s="1" t="n">
        <v>1.3</v>
      </c>
      <c r="D69" s="1" t="n">
        <v>14</v>
      </c>
      <c r="E69" s="4" t="n">
        <f aca="false">C69*D69</f>
        <v>18.2</v>
      </c>
      <c r="F69" s="3" t="n">
        <v>-0.64863656</v>
      </c>
      <c r="G69" s="4" t="n">
        <v>35.6393714285714</v>
      </c>
    </row>
    <row r="70" customFormat="false" ht="13.8" hidden="false" customHeight="false" outlineLevel="0" collapsed="false">
      <c r="A70" s="1" t="n">
        <v>1372</v>
      </c>
      <c r="B70" s="2" t="n">
        <v>1420.91</v>
      </c>
      <c r="C70" s="1" t="n">
        <v>1.2</v>
      </c>
      <c r="D70" s="1" t="n">
        <v>14</v>
      </c>
      <c r="E70" s="4" t="n">
        <f aca="false">C70*D70</f>
        <v>16.8</v>
      </c>
      <c r="F70" s="3" t="n">
        <v>-0.62142104</v>
      </c>
      <c r="G70" s="4" t="n">
        <v>36.9893476190476</v>
      </c>
    </row>
    <row r="71" customFormat="false" ht="13.8" hidden="false" customHeight="false" outlineLevel="0" collapsed="false">
      <c r="A71" s="1" t="n">
        <v>1376</v>
      </c>
      <c r="B71" s="2" t="n">
        <v>1375.31</v>
      </c>
      <c r="C71" s="1" t="n">
        <v>1.1</v>
      </c>
      <c r="D71" s="1" t="n">
        <v>14</v>
      </c>
      <c r="E71" s="4" t="n">
        <f aca="false">C71*D71</f>
        <v>15.4</v>
      </c>
      <c r="F71" s="3" t="n">
        <v>-0.58513368</v>
      </c>
      <c r="G71" s="4" t="n">
        <v>37.9956935064935</v>
      </c>
    </row>
    <row r="72" customFormat="false" ht="13.8" hidden="false" customHeight="false" outlineLevel="0" collapsed="false">
      <c r="A72" s="1" t="n">
        <v>1380</v>
      </c>
      <c r="B72" s="2" t="n">
        <v>1340.81</v>
      </c>
      <c r="C72" s="1" t="n">
        <v>1</v>
      </c>
      <c r="D72" s="1" t="n">
        <v>14</v>
      </c>
      <c r="E72" s="4" t="n">
        <f aca="false">C72*D72</f>
        <v>14</v>
      </c>
      <c r="F72" s="3" t="n">
        <v>-0.54884632</v>
      </c>
      <c r="G72" s="4" t="n">
        <v>39.2033085714286</v>
      </c>
    </row>
    <row r="73" customFormat="false" ht="13.8" hidden="false" customHeight="false" outlineLevel="0" collapsed="false">
      <c r="A73" s="1" t="n">
        <v>1384</v>
      </c>
      <c r="B73" s="2" t="n">
        <v>1306.67</v>
      </c>
      <c r="C73" s="1" t="n">
        <v>0.9</v>
      </c>
      <c r="D73" s="1" t="n">
        <v>14</v>
      </c>
      <c r="E73" s="4" t="n">
        <f aca="false">C73*D73</f>
        <v>12.6</v>
      </c>
      <c r="F73" s="3" t="n">
        <v>-0.51709488</v>
      </c>
      <c r="G73" s="4" t="n">
        <v>41.0392761904762</v>
      </c>
    </row>
    <row r="74" customFormat="false" ht="13.8" hidden="false" customHeight="false" outlineLevel="0" collapsed="false">
      <c r="A74" s="1" t="n">
        <v>1388</v>
      </c>
      <c r="B74" s="2" t="n">
        <v>1267.97</v>
      </c>
      <c r="C74" s="1" t="n">
        <v>0.8</v>
      </c>
      <c r="D74" s="1" t="n">
        <v>14</v>
      </c>
      <c r="E74" s="4" t="n">
        <f aca="false">C74*D74</f>
        <v>11.2</v>
      </c>
      <c r="F74" s="3" t="n">
        <v>-0.48987936</v>
      </c>
      <c r="G74" s="4" t="n">
        <v>43.7392285714286</v>
      </c>
    </row>
    <row r="75" customFormat="false" ht="13.8" hidden="false" customHeight="false" outlineLevel="0" collapsed="false">
      <c r="A75" s="1" t="n">
        <v>1392</v>
      </c>
      <c r="B75" s="2" t="n">
        <v>1232.99</v>
      </c>
      <c r="C75" s="1" t="n">
        <v>0.8</v>
      </c>
      <c r="D75" s="1" t="n">
        <v>14</v>
      </c>
      <c r="E75" s="4" t="n">
        <f aca="false">C75*D75</f>
        <v>11.2</v>
      </c>
      <c r="F75" s="3" t="n">
        <v>-0.46266384</v>
      </c>
      <c r="G75" s="4" t="n">
        <v>41.3092714285714</v>
      </c>
    </row>
    <row r="76" customFormat="false" ht="13.8" hidden="false" customHeight="false" outlineLevel="0" collapsed="false">
      <c r="A76" s="1" t="n">
        <v>1396</v>
      </c>
      <c r="B76" s="2" t="n">
        <v>1187.7</v>
      </c>
      <c r="C76" s="1" t="n">
        <v>0.7</v>
      </c>
      <c r="D76" s="1" t="n">
        <v>14</v>
      </c>
      <c r="E76" s="4" t="n">
        <f aca="false">C76*D76</f>
        <v>9.8</v>
      </c>
      <c r="F76" s="3" t="n">
        <v>-0.42637648</v>
      </c>
      <c r="G76" s="4" t="n">
        <v>43.5078040816327</v>
      </c>
    </row>
    <row r="77" customFormat="false" ht="13.8" hidden="false" customHeight="false" outlineLevel="0" collapsed="false">
      <c r="A77" s="1" t="n">
        <v>1400</v>
      </c>
      <c r="B77" s="2" t="n">
        <v>1149.61</v>
      </c>
      <c r="C77" s="1" t="n">
        <v>0.6</v>
      </c>
      <c r="D77" s="1" t="n">
        <v>14</v>
      </c>
      <c r="E77" s="4" t="n">
        <f aca="false">C77*D77</f>
        <v>8.4</v>
      </c>
      <c r="F77" s="3" t="n">
        <v>-0.39916096</v>
      </c>
      <c r="G77" s="4" t="n">
        <v>47.5191619047619</v>
      </c>
    </row>
    <row r="78" customFormat="false" ht="13.8" hidden="false" customHeight="false" outlineLevel="0" collapsed="false">
      <c r="A78" s="1" t="n">
        <v>1404</v>
      </c>
      <c r="B78" s="2" t="n">
        <v>1105.72</v>
      </c>
      <c r="C78" s="1" t="n">
        <v>0.5</v>
      </c>
      <c r="D78" s="1" t="n">
        <v>14</v>
      </c>
      <c r="E78" s="4" t="n">
        <f aca="false">C78*D78</f>
        <v>7</v>
      </c>
      <c r="F78" s="3" t="n">
        <v>-0.37194544</v>
      </c>
      <c r="G78" s="4" t="n">
        <v>53.1350628571428</v>
      </c>
    </row>
    <row r="79" customFormat="false" ht="13.8" hidden="false" customHeight="false" outlineLevel="0" collapsed="false">
      <c r="A79" s="1" t="n">
        <v>1408</v>
      </c>
      <c r="B79" s="2" t="n">
        <v>1063.81</v>
      </c>
      <c r="C79" s="1" t="n">
        <v>0.5</v>
      </c>
      <c r="D79" s="1" t="n">
        <v>14</v>
      </c>
      <c r="E79" s="4" t="n">
        <f aca="false">C79*D79</f>
        <v>7</v>
      </c>
      <c r="F79" s="3" t="n">
        <v>-0.34926584</v>
      </c>
      <c r="G79" s="4" t="n">
        <v>49.89512</v>
      </c>
    </row>
    <row r="80" customFormat="false" ht="13.8" hidden="false" customHeight="false" outlineLevel="0" collapsed="false">
      <c r="A80" s="1" t="n">
        <v>1412</v>
      </c>
      <c r="B80" s="2" t="n">
        <v>1017.51</v>
      </c>
      <c r="C80" s="1" t="n">
        <v>0.4</v>
      </c>
      <c r="D80" s="1" t="n">
        <v>14</v>
      </c>
      <c r="E80" s="4" t="n">
        <f aca="false">C80*D80</f>
        <v>5.6</v>
      </c>
      <c r="F80" s="3" t="n">
        <v>-0.3175144</v>
      </c>
      <c r="G80" s="4" t="n">
        <v>56.699</v>
      </c>
    </row>
    <row r="81" customFormat="false" ht="13.8" hidden="false" customHeight="false" outlineLevel="0" collapsed="false">
      <c r="A81" s="1" t="n">
        <v>1416</v>
      </c>
      <c r="B81" s="2" t="n">
        <v>974.07</v>
      </c>
      <c r="C81" s="1" t="n">
        <v>0.4</v>
      </c>
      <c r="D81" s="1" t="n">
        <v>14</v>
      </c>
      <c r="E81" s="4" t="n">
        <f aca="false">C81*D81</f>
        <v>5.6</v>
      </c>
      <c r="F81" s="3" t="n">
        <v>-0.28576296</v>
      </c>
      <c r="G81" s="4" t="n">
        <v>51.0291</v>
      </c>
    </row>
    <row r="82" customFormat="false" ht="13.8" hidden="false" customHeight="false" outlineLevel="0" collapsed="false">
      <c r="A82" s="1" t="n">
        <v>1420</v>
      </c>
      <c r="B82" s="2" t="n">
        <v>929.01</v>
      </c>
      <c r="C82" s="1" t="n">
        <v>0.3</v>
      </c>
      <c r="D82" s="1" t="n">
        <v>14</v>
      </c>
      <c r="E82" s="4" t="n">
        <f aca="false">C82*D82</f>
        <v>4.2</v>
      </c>
      <c r="F82" s="3" t="n">
        <v>-0.25854744</v>
      </c>
      <c r="G82" s="4" t="n">
        <v>61.5589142857143</v>
      </c>
    </row>
    <row r="83" customFormat="false" ht="13.8" hidden="false" customHeight="false" outlineLevel="0" collapsed="false">
      <c r="A83" s="1" t="n">
        <v>1424</v>
      </c>
      <c r="B83" s="2" t="n">
        <v>885.8</v>
      </c>
      <c r="C83" s="1" t="n">
        <v>0.3</v>
      </c>
      <c r="D83" s="1" t="n">
        <v>14</v>
      </c>
      <c r="E83" s="4" t="n">
        <f aca="false">C83*D83</f>
        <v>4.2</v>
      </c>
      <c r="F83" s="3" t="n">
        <v>-0.23586784</v>
      </c>
      <c r="G83" s="4" t="n">
        <v>56.1590095238095</v>
      </c>
    </row>
    <row r="84" customFormat="false" ht="13.8" hidden="false" customHeight="false" outlineLevel="0" collapsed="false">
      <c r="A84" s="1" t="n">
        <v>1428</v>
      </c>
      <c r="B84" s="2" t="n">
        <v>834.28</v>
      </c>
      <c r="C84" s="1" t="n">
        <v>0.2</v>
      </c>
      <c r="D84" s="1" t="n">
        <v>14</v>
      </c>
      <c r="E84" s="4" t="n">
        <f aca="false">C84*D84</f>
        <v>2.8</v>
      </c>
      <c r="F84" s="3" t="n">
        <v>-0.20865232</v>
      </c>
      <c r="G84" s="4" t="n">
        <v>74.5186857142857</v>
      </c>
    </row>
    <row r="85" customFormat="false" ht="13.8" hidden="false" customHeight="false" outlineLevel="0" collapsed="false">
      <c r="A85" s="1" t="n">
        <v>1432</v>
      </c>
      <c r="B85" s="2" t="n">
        <v>786.35</v>
      </c>
      <c r="C85" s="1" t="n">
        <v>0.2</v>
      </c>
      <c r="D85" s="1" t="n">
        <v>14</v>
      </c>
      <c r="E85" s="4" t="n">
        <f aca="false">C85*D85</f>
        <v>2.8</v>
      </c>
      <c r="F85" s="3" t="n">
        <v>-0.18597272</v>
      </c>
      <c r="G85" s="4" t="n">
        <v>66.4188285714286</v>
      </c>
    </row>
    <row r="86" customFormat="false" ht="13.8" hidden="false" customHeight="false" outlineLevel="0" collapsed="false">
      <c r="A86" s="1" t="n">
        <v>1436</v>
      </c>
      <c r="B86" s="2" t="n">
        <v>734.96</v>
      </c>
      <c r="C86" s="1" t="n">
        <v>0.2</v>
      </c>
      <c r="D86" s="1" t="n">
        <v>14</v>
      </c>
      <c r="E86" s="4" t="n">
        <f aca="false">C86*D86</f>
        <v>2.8</v>
      </c>
      <c r="F86" s="3" t="n">
        <v>-0.16329312</v>
      </c>
      <c r="G86" s="4" t="n">
        <v>58.3189714285714</v>
      </c>
    </row>
    <row r="87" customFormat="false" ht="13.8" hidden="false" customHeight="false" outlineLevel="0" collapsed="false">
      <c r="A87" s="1" t="n">
        <v>1440</v>
      </c>
      <c r="B87" s="2" t="n">
        <v>682.97</v>
      </c>
      <c r="C87" s="1" t="n">
        <v>0.11</v>
      </c>
      <c r="D87" s="1" t="n">
        <v>14</v>
      </c>
      <c r="E87" s="4" t="n">
        <f aca="false">C87*D87</f>
        <v>1.54</v>
      </c>
      <c r="F87" s="3" t="n">
        <v>-0.14514944</v>
      </c>
      <c r="G87" s="4" t="n">
        <v>94.2528831168831</v>
      </c>
    </row>
    <row r="88" customFormat="false" ht="13.8" hidden="false" customHeight="false" outlineLevel="0" collapsed="false">
      <c r="A88" s="1" t="n">
        <v>1444</v>
      </c>
      <c r="B88" s="2" t="n">
        <v>627.5</v>
      </c>
      <c r="C88" s="1" t="n">
        <v>0.1</v>
      </c>
      <c r="D88" s="1" t="n">
        <v>14</v>
      </c>
      <c r="E88" s="4" t="n">
        <f aca="false">C88*D88</f>
        <v>1.4</v>
      </c>
      <c r="F88" s="3" t="n">
        <v>-0.12246984</v>
      </c>
      <c r="G88" s="4" t="n">
        <v>87.4784571428571</v>
      </c>
    </row>
    <row r="89" customFormat="false" ht="13.8" hidden="false" customHeight="false" outlineLevel="0" collapsed="false">
      <c r="A89" s="1" t="n">
        <v>1448</v>
      </c>
      <c r="B89" s="2" t="n">
        <v>574.57</v>
      </c>
      <c r="C89" s="1" t="n">
        <v>0.1</v>
      </c>
      <c r="D89" s="1" t="n">
        <v>14</v>
      </c>
      <c r="E89" s="4" t="n">
        <f aca="false">C89*D89</f>
        <v>1.4</v>
      </c>
      <c r="F89" s="3" t="n">
        <v>-0.09979024</v>
      </c>
      <c r="G89" s="4" t="n">
        <v>71.2787428571428</v>
      </c>
    </row>
    <row r="90" customFormat="false" ht="13.8" hidden="false" customHeight="false" outlineLevel="0" collapsed="false">
      <c r="A90" s="1" t="n">
        <v>1452</v>
      </c>
      <c r="B90" s="2" t="n">
        <v>517.91</v>
      </c>
      <c r="C90" s="1" t="n">
        <v>0.05</v>
      </c>
      <c r="D90" s="1" t="n">
        <v>14</v>
      </c>
      <c r="E90" s="4" t="n">
        <f aca="false">C90*D90</f>
        <v>0.7</v>
      </c>
      <c r="F90" s="3" t="n">
        <v>-0.08164656</v>
      </c>
      <c r="G90" s="4" t="n">
        <v>116.637942857143</v>
      </c>
    </row>
    <row r="91" customFormat="false" ht="13.8" hidden="false" customHeight="false" outlineLevel="0" collapsed="false">
      <c r="A91" s="1" t="n">
        <v>1456</v>
      </c>
      <c r="B91" s="2" t="n">
        <v>462.63</v>
      </c>
      <c r="C91" s="1" t="n">
        <v>0.05</v>
      </c>
      <c r="D91" s="1" t="n">
        <v>14</v>
      </c>
      <c r="E91" s="4" t="n">
        <f aca="false">C91*D91</f>
        <v>0.7</v>
      </c>
      <c r="F91" s="3" t="n">
        <v>-0.0680388</v>
      </c>
      <c r="G91" s="4" t="n">
        <v>97.1982857142857</v>
      </c>
    </row>
    <row r="92" customFormat="false" ht="13.8" hidden="false" customHeight="false" outlineLevel="0" collapsed="false">
      <c r="A92" s="1" t="n">
        <v>1460</v>
      </c>
      <c r="B92" s="2" t="n">
        <v>400.48</v>
      </c>
      <c r="C92" s="1" t="n">
        <v>0.05</v>
      </c>
      <c r="D92" s="1" t="n">
        <v>14</v>
      </c>
      <c r="E92" s="4" t="n">
        <f aca="false">C92*D92</f>
        <v>0.7</v>
      </c>
      <c r="F92" s="3" t="n">
        <v>-0.0453592</v>
      </c>
      <c r="G92" s="4" t="n">
        <v>64.7988571428571</v>
      </c>
    </row>
    <row r="93" customFormat="false" ht="13.8" hidden="false" customHeight="false" outlineLevel="0" collapsed="false">
      <c r="A93" s="1" t="n">
        <v>1464</v>
      </c>
      <c r="B93" s="2" t="n">
        <v>341.53</v>
      </c>
      <c r="C93" s="1" t="n">
        <v>0.05</v>
      </c>
      <c r="D93" s="1" t="n">
        <v>14</v>
      </c>
      <c r="E93" s="4" t="n">
        <f aca="false">C93*D93</f>
        <v>0.7</v>
      </c>
      <c r="F93" s="3" t="n">
        <v>-0.03175144</v>
      </c>
      <c r="G93" s="4" t="n">
        <v>45.3592</v>
      </c>
    </row>
    <row r="94" customFormat="false" ht="13.8" hidden="false" customHeight="false" outlineLevel="0" collapsed="false">
      <c r="A94" s="1" t="n">
        <v>1468</v>
      </c>
      <c r="B94" s="2" t="n">
        <v>0</v>
      </c>
      <c r="C94" s="1" t="n">
        <v>0</v>
      </c>
      <c r="D94" s="1" t="n">
        <v>14</v>
      </c>
      <c r="E94" s="4" t="n">
        <f aca="false">C94*D94</f>
        <v>0</v>
      </c>
      <c r="F94" s="3" t="n">
        <v>0</v>
      </c>
      <c r="G94" s="4" t="n">
        <v>0</v>
      </c>
    </row>
    <row r="95" customFormat="false" ht="13.8" hidden="false" customHeight="false" outlineLevel="0" collapsed="false">
      <c r="A95" s="1" t="n">
        <v>1472</v>
      </c>
      <c r="B95" s="2" t="n">
        <v>0</v>
      </c>
      <c r="C95" s="1" t="n">
        <v>0</v>
      </c>
      <c r="D95" s="1" t="n">
        <v>14</v>
      </c>
      <c r="E95" s="4" t="n">
        <f aca="false">C95*D95</f>
        <v>0</v>
      </c>
      <c r="F95" s="3" t="n">
        <v>0</v>
      </c>
      <c r="G95" s="4" t="n">
        <v>0</v>
      </c>
    </row>
    <row r="96" customFormat="false" ht="13.8" hidden="false" customHeight="false" outlineLevel="0" collapsed="false">
      <c r="A96" s="1" t="n">
        <v>1476</v>
      </c>
      <c r="B96" s="2" t="n">
        <v>0</v>
      </c>
      <c r="C96" s="1" t="n">
        <v>0</v>
      </c>
      <c r="D96" s="1" t="n">
        <v>14</v>
      </c>
      <c r="E96" s="4" t="n">
        <f aca="false">C96*D96</f>
        <v>0</v>
      </c>
      <c r="F96" s="3" t="n">
        <v>0</v>
      </c>
      <c r="G96" s="4" t="n">
        <v>0</v>
      </c>
    </row>
    <row r="97" customFormat="false" ht="13.8" hidden="false" customHeight="false" outlineLevel="0" collapsed="false">
      <c r="A97" s="1" t="n">
        <v>1480</v>
      </c>
      <c r="B97" s="2" t="n">
        <v>0</v>
      </c>
      <c r="C97" s="1" t="n">
        <v>0</v>
      </c>
      <c r="D97" s="1" t="n">
        <v>14</v>
      </c>
      <c r="E97" s="4" t="n">
        <f aca="false">C97*D97</f>
        <v>0</v>
      </c>
      <c r="F97" s="3" t="n">
        <v>0</v>
      </c>
      <c r="G97" s="4" t="n">
        <v>0</v>
      </c>
    </row>
    <row r="98" customFormat="false" ht="13.8" hidden="false" customHeight="false" outlineLevel="0" collapsed="false">
      <c r="A98" s="1" t="n">
        <v>1484</v>
      </c>
      <c r="B98" s="2" t="n">
        <v>0</v>
      </c>
      <c r="C98" s="1" t="n">
        <v>0</v>
      </c>
      <c r="D98" s="1" t="n">
        <v>14</v>
      </c>
      <c r="E98" s="4" t="n">
        <f aca="false">C98*D98</f>
        <v>0</v>
      </c>
      <c r="F98" s="3" t="n">
        <v>0</v>
      </c>
      <c r="G98" s="4" t="n">
        <v>0</v>
      </c>
    </row>
    <row r="99" customFormat="false" ht="13.8" hidden="false" customHeight="false" outlineLevel="0" collapsed="false">
      <c r="A99" s="1" t="n">
        <v>1488</v>
      </c>
      <c r="B99" s="2" t="n">
        <v>0</v>
      </c>
      <c r="C99" s="1" t="n">
        <v>0</v>
      </c>
      <c r="D99" s="1" t="n">
        <v>14</v>
      </c>
      <c r="E99" s="4" t="n">
        <f aca="false">C99*D99</f>
        <v>0</v>
      </c>
      <c r="F99" s="3" t="n">
        <v>0</v>
      </c>
      <c r="G99" s="4" t="n">
        <v>0</v>
      </c>
    </row>
    <row r="100" customFormat="false" ht="13.8" hidden="false" customHeight="false" outlineLevel="0" collapsed="false">
      <c r="A100" s="1" t="n">
        <v>1492</v>
      </c>
      <c r="B100" s="2" t="n">
        <v>0</v>
      </c>
      <c r="C100" s="1" t="n">
        <v>0</v>
      </c>
      <c r="D100" s="1" t="n">
        <v>14</v>
      </c>
      <c r="E100" s="4" t="n">
        <f aca="false">C100*D100</f>
        <v>0</v>
      </c>
      <c r="F100" s="3" t="n">
        <v>0</v>
      </c>
      <c r="G100" s="4" t="n">
        <v>0</v>
      </c>
    </row>
    <row r="101" customFormat="false" ht="13.8" hidden="false" customHeight="false" outlineLevel="0" collapsed="false">
      <c r="A101" s="1" t="n">
        <v>1496</v>
      </c>
      <c r="B101" s="2" t="n">
        <v>0</v>
      </c>
      <c r="C101" s="1" t="n">
        <v>0</v>
      </c>
      <c r="D101" s="1" t="n">
        <v>14</v>
      </c>
      <c r="E101" s="4" t="n">
        <f aca="false">C101*D101</f>
        <v>0</v>
      </c>
      <c r="F101" s="3" t="n">
        <v>0</v>
      </c>
      <c r="G101" s="4" t="n">
        <v>0</v>
      </c>
    </row>
    <row r="102" customFormat="false" ht="13.8" hidden="false" customHeight="false" outlineLevel="0" collapsed="false">
      <c r="A102" s="1" t="n">
        <v>1500</v>
      </c>
      <c r="B102" s="2" t="n">
        <v>0</v>
      </c>
      <c r="C102" s="1" t="n">
        <v>0</v>
      </c>
      <c r="D102" s="1" t="n">
        <v>14</v>
      </c>
      <c r="E102" s="4" t="n">
        <f aca="false">C102*D102</f>
        <v>0</v>
      </c>
      <c r="F102" s="3" t="n">
        <v>0</v>
      </c>
      <c r="G102" s="4" t="n">
        <v>0</v>
      </c>
    </row>
    <row r="103" customFormat="false" ht="13.8" hidden="false" customHeight="false" outlineLevel="0" collapsed="false">
      <c r="A103" s="1" t="n">
        <v>1504</v>
      </c>
      <c r="B103" s="2" t="n">
        <v>0</v>
      </c>
      <c r="C103" s="1" t="n">
        <v>0</v>
      </c>
      <c r="D103" s="1" t="n">
        <v>14</v>
      </c>
      <c r="E103" s="4" t="n">
        <f aca="false">C103*D103</f>
        <v>0</v>
      </c>
      <c r="F103" s="3" t="n">
        <v>0</v>
      </c>
      <c r="G103" s="4" t="n">
        <v>0</v>
      </c>
    </row>
    <row r="104" customFormat="false" ht="13.8" hidden="false" customHeight="false" outlineLevel="0" collapsed="false">
      <c r="A104" s="1" t="n">
        <v>1508</v>
      </c>
      <c r="B104" s="2" t="n">
        <v>0</v>
      </c>
      <c r="C104" s="1" t="n">
        <v>0</v>
      </c>
      <c r="D104" s="1" t="n">
        <v>14</v>
      </c>
      <c r="E104" s="4" t="n">
        <f aca="false">C104*D104</f>
        <v>0</v>
      </c>
      <c r="F104" s="3" t="n">
        <v>0</v>
      </c>
      <c r="G104" s="4" t="n">
        <v>0</v>
      </c>
    </row>
    <row r="105" customFormat="false" ht="13.8" hidden="false" customHeight="false" outlineLevel="0" collapsed="false">
      <c r="A105" s="1" t="n">
        <v>1512</v>
      </c>
      <c r="B105" s="2" t="n">
        <v>0</v>
      </c>
      <c r="C105" s="1" t="n">
        <v>0</v>
      </c>
      <c r="D105" s="1" t="n">
        <v>14</v>
      </c>
      <c r="E105" s="4" t="n">
        <f aca="false">C105*D105</f>
        <v>0</v>
      </c>
      <c r="F105" s="3" t="n">
        <v>0</v>
      </c>
      <c r="G105" s="4" t="n">
        <v>0</v>
      </c>
    </row>
    <row r="106" customFormat="false" ht="13.8" hidden="false" customHeight="false" outlineLevel="0" collapsed="false">
      <c r="A106" s="1" t="n">
        <v>1516</v>
      </c>
      <c r="B106" s="2" t="n">
        <v>0</v>
      </c>
      <c r="C106" s="1" t="n">
        <v>0</v>
      </c>
      <c r="D106" s="1" t="n">
        <v>14</v>
      </c>
      <c r="E106" s="4" t="n">
        <f aca="false">C106*D106</f>
        <v>0</v>
      </c>
      <c r="F106" s="3" t="n">
        <v>0</v>
      </c>
      <c r="G106" s="4" t="n">
        <v>0</v>
      </c>
    </row>
    <row r="107" customFormat="false" ht="13.8" hidden="false" customHeight="false" outlineLevel="0" collapsed="false">
      <c r="A107" s="1" t="n">
        <v>1520</v>
      </c>
      <c r="B107" s="2" t="n">
        <v>0</v>
      </c>
      <c r="C107" s="1" t="n">
        <v>0</v>
      </c>
      <c r="D107" s="1" t="n">
        <v>14</v>
      </c>
      <c r="E107" s="4" t="n">
        <f aca="false">C107*D107</f>
        <v>0</v>
      </c>
      <c r="F107" s="3" t="n">
        <v>0</v>
      </c>
      <c r="G107" s="4" t="n">
        <v>0</v>
      </c>
    </row>
    <row r="108" customFormat="false" ht="13.8" hidden="false" customHeight="false" outlineLevel="0" collapsed="false">
      <c r="A108" s="1" t="n">
        <v>1524</v>
      </c>
      <c r="B108" s="2" t="n">
        <v>0</v>
      </c>
      <c r="C108" s="1" t="n">
        <v>0</v>
      </c>
      <c r="D108" s="1" t="n">
        <v>14</v>
      </c>
      <c r="E108" s="4" t="n">
        <f aca="false">C108*D108</f>
        <v>0</v>
      </c>
      <c r="F108" s="3" t="n">
        <v>0</v>
      </c>
      <c r="G108" s="4" t="n">
        <v>0</v>
      </c>
    </row>
    <row r="109" customFormat="false" ht="13.8" hidden="false" customHeight="false" outlineLevel="0" collapsed="false">
      <c r="A109" s="1" t="n">
        <v>1528</v>
      </c>
      <c r="B109" s="2" t="n">
        <v>0</v>
      </c>
      <c r="C109" s="1" t="n">
        <v>0</v>
      </c>
      <c r="D109" s="1" t="n">
        <v>14</v>
      </c>
      <c r="E109" s="4" t="n">
        <f aca="false">C109*D109</f>
        <v>0</v>
      </c>
      <c r="F109" s="3" t="n">
        <v>0</v>
      </c>
      <c r="G109" s="4" t="n">
        <v>0</v>
      </c>
    </row>
    <row r="110" customFormat="false" ht="13.8" hidden="false" customHeight="false" outlineLevel="0" collapsed="false">
      <c r="A110" s="1" t="n">
        <v>1532</v>
      </c>
      <c r="B110" s="2" t="n">
        <v>0</v>
      </c>
      <c r="C110" s="1" t="n">
        <v>0</v>
      </c>
      <c r="D110" s="1" t="n">
        <v>14</v>
      </c>
      <c r="E110" s="4" t="n">
        <f aca="false">C110*D110</f>
        <v>0</v>
      </c>
      <c r="F110" s="3" t="n">
        <v>0</v>
      </c>
      <c r="G110" s="4" t="n">
        <v>0</v>
      </c>
    </row>
    <row r="111" customFormat="false" ht="13.8" hidden="false" customHeight="false" outlineLevel="0" collapsed="false">
      <c r="A111" s="1" t="n">
        <v>1536</v>
      </c>
      <c r="B111" s="2" t="n">
        <v>344.26</v>
      </c>
      <c r="C111" s="1" t="n">
        <v>0.05</v>
      </c>
      <c r="D111" s="1" t="n">
        <v>14</v>
      </c>
      <c r="E111" s="4" t="n">
        <f aca="false">C111*D111</f>
        <v>0.7</v>
      </c>
      <c r="F111" s="3" t="n">
        <v>0.0453592</v>
      </c>
      <c r="G111" s="4" t="n">
        <v>64.7988571428571</v>
      </c>
    </row>
    <row r="112" customFormat="false" ht="13.8" hidden="false" customHeight="false" outlineLevel="0" collapsed="false">
      <c r="A112" s="1" t="n">
        <v>1540</v>
      </c>
      <c r="B112" s="2" t="n">
        <v>399.1</v>
      </c>
      <c r="C112" s="1" t="n">
        <v>0.05</v>
      </c>
      <c r="D112" s="1" t="n">
        <v>14</v>
      </c>
      <c r="E112" s="4" t="n">
        <f aca="false">C112*D112</f>
        <v>0.7</v>
      </c>
      <c r="F112" s="3" t="n">
        <v>0.06350288</v>
      </c>
      <c r="G112" s="4" t="n">
        <v>90.7184</v>
      </c>
    </row>
    <row r="113" customFormat="false" ht="13.8" hidden="false" customHeight="false" outlineLevel="0" collapsed="false">
      <c r="A113" s="1" t="n">
        <v>1544</v>
      </c>
      <c r="B113" s="2" t="n">
        <v>460.93</v>
      </c>
      <c r="C113" s="1" t="n">
        <v>0.05</v>
      </c>
      <c r="D113" s="1" t="n">
        <v>14</v>
      </c>
      <c r="E113" s="4" t="n">
        <f aca="false">C113*D113</f>
        <v>0.7</v>
      </c>
      <c r="F113" s="3" t="n">
        <v>0.08164656</v>
      </c>
      <c r="G113" s="4" t="n">
        <v>116.637942857143</v>
      </c>
    </row>
    <row r="114" customFormat="false" ht="13.8" hidden="false" customHeight="false" outlineLevel="0" collapsed="false">
      <c r="A114" s="1" t="n">
        <v>1548</v>
      </c>
      <c r="B114" s="8" t="n">
        <v>515.42</v>
      </c>
      <c r="C114" s="1" t="n">
        <v>0.01</v>
      </c>
      <c r="D114" s="1" t="n">
        <v>14</v>
      </c>
      <c r="E114" s="4" t="n">
        <v>1.4</v>
      </c>
      <c r="F114" s="3" t="n">
        <v>0.09979024</v>
      </c>
      <c r="G114" s="4" t="n">
        <v>71.4286</v>
      </c>
    </row>
    <row r="115" customFormat="false" ht="13.8" hidden="false" customHeight="false" outlineLevel="0" collapsed="false">
      <c r="A115" s="1" t="n">
        <v>1552</v>
      </c>
      <c r="B115" s="2" t="n">
        <v>572.67</v>
      </c>
      <c r="C115" s="1" t="n">
        <v>0.1</v>
      </c>
      <c r="D115" s="1" t="n">
        <v>14</v>
      </c>
      <c r="E115" s="4" t="n">
        <f aca="false">C115*D115</f>
        <v>1.4</v>
      </c>
      <c r="F115" s="3" t="n">
        <v>0.12246984</v>
      </c>
      <c r="G115" s="4" t="n">
        <v>87.4784571428571</v>
      </c>
    </row>
    <row r="116" customFormat="false" ht="13.8" hidden="false" customHeight="false" outlineLevel="0" collapsed="false">
      <c r="A116" s="1" t="n">
        <v>1556</v>
      </c>
      <c r="B116" s="2" t="n">
        <v>626.45</v>
      </c>
      <c r="C116" s="1" t="n">
        <v>0.1</v>
      </c>
      <c r="D116" s="1" t="n">
        <v>14</v>
      </c>
      <c r="E116" s="4" t="n">
        <f aca="false">C116*D116</f>
        <v>1.4</v>
      </c>
      <c r="F116" s="3" t="n">
        <v>0.14514944</v>
      </c>
      <c r="G116" s="4" t="n">
        <v>103.678171428571</v>
      </c>
    </row>
    <row r="117" customFormat="false" ht="13.8" hidden="false" customHeight="false" outlineLevel="0" collapsed="false">
      <c r="A117" s="1" t="n">
        <v>1560</v>
      </c>
      <c r="B117" s="2" t="n">
        <v>674.97</v>
      </c>
      <c r="C117" s="1" t="n">
        <v>0.13</v>
      </c>
      <c r="D117" s="1" t="n">
        <v>14</v>
      </c>
      <c r="E117" s="4" t="n">
        <f aca="false">C117*D117</f>
        <v>1.82</v>
      </c>
      <c r="F117" s="3" t="n">
        <v>0.17690088</v>
      </c>
      <c r="G117" s="4" t="n">
        <v>97.1982857142857</v>
      </c>
    </row>
    <row r="118" customFormat="false" ht="13.8" hidden="false" customHeight="false" outlineLevel="0" collapsed="false">
      <c r="A118" s="1" t="n">
        <v>1564</v>
      </c>
      <c r="B118" s="2" t="n">
        <v>731.12</v>
      </c>
      <c r="C118" s="1" t="n">
        <v>0.2</v>
      </c>
      <c r="D118" s="1" t="n">
        <v>14</v>
      </c>
      <c r="E118" s="4" t="n">
        <f aca="false">C118*D118</f>
        <v>2.8</v>
      </c>
      <c r="F118" s="3" t="n">
        <v>0.19958048</v>
      </c>
      <c r="G118" s="4" t="n">
        <v>71.2787428571428</v>
      </c>
    </row>
    <row r="119" customFormat="false" ht="13.8" hidden="false" customHeight="false" outlineLevel="0" collapsed="false">
      <c r="A119" s="1" t="n">
        <v>1568</v>
      </c>
      <c r="B119" s="2" t="n">
        <v>776.97</v>
      </c>
      <c r="C119" s="1" t="n">
        <v>0.2</v>
      </c>
      <c r="D119" s="1" t="n">
        <v>14</v>
      </c>
      <c r="E119" s="4" t="n">
        <f aca="false">C119*D119</f>
        <v>2.8</v>
      </c>
      <c r="F119" s="3" t="n">
        <v>0.226796</v>
      </c>
      <c r="G119" s="4" t="n">
        <v>80.9985714285714</v>
      </c>
    </row>
    <row r="120" customFormat="false" ht="13.8" hidden="false" customHeight="false" outlineLevel="0" collapsed="false">
      <c r="A120" s="1" t="n">
        <v>1572</v>
      </c>
      <c r="B120" s="2" t="n">
        <v>824.32</v>
      </c>
      <c r="C120" s="1" t="n">
        <v>0.2</v>
      </c>
      <c r="D120" s="1" t="n">
        <v>14</v>
      </c>
      <c r="E120" s="4" t="n">
        <f aca="false">C120*D120</f>
        <v>2.8</v>
      </c>
      <c r="F120" s="3" t="n">
        <v>0.26308336</v>
      </c>
      <c r="G120" s="4" t="n">
        <v>93.9583428571428</v>
      </c>
    </row>
    <row r="121" customFormat="false" ht="13.8" hidden="false" customHeight="false" outlineLevel="0" collapsed="false">
      <c r="A121" s="1" t="n">
        <v>1576</v>
      </c>
      <c r="B121" s="2" t="n">
        <v>876.46</v>
      </c>
      <c r="C121" s="1" t="n">
        <v>0.3</v>
      </c>
      <c r="D121" s="1" t="n">
        <v>14</v>
      </c>
      <c r="E121" s="4" t="n">
        <f aca="false">C121*D121</f>
        <v>4.2</v>
      </c>
      <c r="F121" s="3" t="n">
        <v>0.29029888</v>
      </c>
      <c r="G121" s="4" t="n">
        <v>69.1187809523809</v>
      </c>
    </row>
    <row r="122" customFormat="false" ht="13.8" hidden="false" customHeight="false" outlineLevel="0" collapsed="false">
      <c r="A122" s="1" t="n">
        <v>1580</v>
      </c>
      <c r="B122" s="2" t="n">
        <v>917.24</v>
      </c>
      <c r="C122" s="1" t="n">
        <v>0.4</v>
      </c>
      <c r="D122" s="1" t="n">
        <v>14</v>
      </c>
      <c r="E122" s="4" t="n">
        <f aca="false">C122*D122</f>
        <v>5.6</v>
      </c>
      <c r="F122" s="3" t="n">
        <v>0.32658624</v>
      </c>
      <c r="G122" s="4" t="n">
        <v>58.3189714285714</v>
      </c>
    </row>
    <row r="123" customFormat="false" ht="13.8" hidden="false" customHeight="false" outlineLevel="0" collapsed="false">
      <c r="A123" s="1" t="n">
        <v>1584</v>
      </c>
      <c r="B123" s="2" t="n">
        <v>967.46</v>
      </c>
      <c r="C123" s="1" t="n">
        <v>0.4</v>
      </c>
      <c r="D123" s="1" t="n">
        <v>14</v>
      </c>
      <c r="E123" s="4" t="n">
        <f aca="false">C123*D123</f>
        <v>5.6</v>
      </c>
      <c r="F123" s="3" t="n">
        <v>0.3628736</v>
      </c>
      <c r="G123" s="4" t="n">
        <v>64.7988571428571</v>
      </c>
    </row>
    <row r="124" customFormat="false" ht="13.8" hidden="false" customHeight="false" outlineLevel="0" collapsed="false">
      <c r="A124" s="1" t="n">
        <v>1588</v>
      </c>
      <c r="B124" s="2" t="n">
        <v>1007.37</v>
      </c>
      <c r="C124" s="1" t="n">
        <v>0.44</v>
      </c>
      <c r="D124" s="1" t="n">
        <v>14</v>
      </c>
      <c r="E124" s="4" t="n">
        <f aca="false">C124*D124</f>
        <v>6.16</v>
      </c>
      <c r="F124" s="3" t="n">
        <v>0.39462504</v>
      </c>
      <c r="G124" s="4" t="n">
        <v>64.0625064935065</v>
      </c>
    </row>
    <row r="125" customFormat="false" ht="13.8" hidden="false" customHeight="false" outlineLevel="0" collapsed="false">
      <c r="A125" s="1" t="n">
        <v>1592</v>
      </c>
      <c r="B125" s="2" t="n">
        <v>1047.88</v>
      </c>
      <c r="C125" s="1" t="n">
        <v>0.5</v>
      </c>
      <c r="D125" s="1" t="n">
        <v>14</v>
      </c>
      <c r="E125" s="4" t="n">
        <f aca="false">C125*D125</f>
        <v>7</v>
      </c>
      <c r="F125" s="3" t="n">
        <v>0.42637648</v>
      </c>
      <c r="G125" s="4" t="n">
        <v>60.9109257142857</v>
      </c>
    </row>
    <row r="126" customFormat="false" ht="13.8" hidden="false" customHeight="false" outlineLevel="0" collapsed="false">
      <c r="A126" s="1" t="n">
        <v>1596</v>
      </c>
      <c r="B126" s="2" t="n">
        <v>1091.51</v>
      </c>
      <c r="C126" s="1" t="n">
        <v>0.6</v>
      </c>
      <c r="D126" s="1" t="n">
        <v>14</v>
      </c>
      <c r="E126" s="4" t="n">
        <f aca="false">C126*D126</f>
        <v>8.4</v>
      </c>
      <c r="F126" s="3" t="n">
        <v>0.46266384</v>
      </c>
      <c r="G126" s="4" t="n">
        <v>55.0790285714286</v>
      </c>
    </row>
    <row r="127" customFormat="false" ht="13.8" hidden="false" customHeight="false" outlineLevel="0" collapsed="false">
      <c r="A127" s="1" t="n">
        <v>1600</v>
      </c>
      <c r="B127" s="2" t="n">
        <v>1135.83</v>
      </c>
      <c r="C127" s="1" t="n">
        <v>0.7</v>
      </c>
      <c r="D127" s="1" t="n">
        <v>14</v>
      </c>
      <c r="E127" s="4" t="n">
        <f aca="false">C127*D127</f>
        <v>9.8</v>
      </c>
      <c r="F127" s="3" t="n">
        <v>0.4989512</v>
      </c>
      <c r="G127" s="4" t="n">
        <v>50.9133877551021</v>
      </c>
    </row>
    <row r="128" customFormat="false" ht="13.8" hidden="false" customHeight="false" outlineLevel="0" collapsed="false">
      <c r="A128" s="1" t="n">
        <v>1604</v>
      </c>
      <c r="B128" s="2" t="n">
        <v>1169.21</v>
      </c>
      <c r="C128" s="1" t="n">
        <v>0.7</v>
      </c>
      <c r="D128" s="1" t="n">
        <v>14</v>
      </c>
      <c r="E128" s="4" t="n">
        <f aca="false">C128*D128</f>
        <v>9.8</v>
      </c>
      <c r="F128" s="3" t="n">
        <v>0.53070264</v>
      </c>
      <c r="G128" s="4" t="n">
        <v>54.1533306122449</v>
      </c>
    </row>
    <row r="129" customFormat="false" ht="13.8" hidden="false" customHeight="false" outlineLevel="0" collapsed="false">
      <c r="A129" s="1" t="n">
        <v>1608</v>
      </c>
      <c r="B129" s="2" t="n">
        <v>1213.8</v>
      </c>
      <c r="C129" s="1" t="n">
        <v>0.8</v>
      </c>
      <c r="D129" s="1" t="n">
        <v>14</v>
      </c>
      <c r="E129" s="4" t="n">
        <f aca="false">C129*D129</f>
        <v>11.2</v>
      </c>
      <c r="F129" s="3" t="n">
        <v>0.57606184</v>
      </c>
      <c r="G129" s="4" t="n">
        <v>51.4340928571429</v>
      </c>
    </row>
    <row r="130" customFormat="false" ht="13.8" hidden="false" customHeight="false" outlineLevel="0" collapsed="false">
      <c r="A130" s="1" t="n">
        <v>1612</v>
      </c>
      <c r="B130" s="2" t="n">
        <v>1251.85</v>
      </c>
      <c r="C130" s="1" t="n">
        <v>0.9</v>
      </c>
      <c r="D130" s="1" t="n">
        <v>14</v>
      </c>
      <c r="E130" s="4" t="n">
        <f aca="false">C130*D130</f>
        <v>12.6</v>
      </c>
      <c r="F130" s="3" t="n">
        <v>0.62142104</v>
      </c>
      <c r="G130" s="4" t="n">
        <v>49.3191301587302</v>
      </c>
    </row>
    <row r="131" customFormat="false" ht="13.8" hidden="false" customHeight="false" outlineLevel="0" collapsed="false">
      <c r="A131" s="1" t="n">
        <v>1616</v>
      </c>
      <c r="B131" s="2" t="n">
        <v>1287.49</v>
      </c>
      <c r="C131" s="1" t="n">
        <v>1</v>
      </c>
      <c r="D131" s="1" t="n">
        <v>14</v>
      </c>
      <c r="E131" s="4" t="n">
        <f aca="false">C131*D131</f>
        <v>14</v>
      </c>
      <c r="F131" s="3" t="n">
        <v>0.64410064</v>
      </c>
      <c r="G131" s="4" t="n">
        <v>46.0071885714286</v>
      </c>
    </row>
    <row r="132" customFormat="false" ht="13.8" hidden="false" customHeight="false" outlineLevel="0" collapsed="false">
      <c r="A132" s="1" t="n">
        <v>1620</v>
      </c>
      <c r="B132" s="2" t="n">
        <v>1322.07</v>
      </c>
      <c r="C132" s="1" t="n">
        <v>1</v>
      </c>
      <c r="D132" s="1" t="n">
        <v>14</v>
      </c>
      <c r="E132" s="4" t="n">
        <f aca="false">C132*D132</f>
        <v>14</v>
      </c>
      <c r="F132" s="3" t="n">
        <v>0.68945984</v>
      </c>
      <c r="G132" s="4" t="n">
        <v>49.2471314285714</v>
      </c>
    </row>
    <row r="133" customFormat="false" ht="13.8" hidden="false" customHeight="false" outlineLevel="0" collapsed="false">
      <c r="A133" s="1" t="n">
        <v>1624</v>
      </c>
      <c r="B133" s="2" t="n">
        <v>1354.18</v>
      </c>
      <c r="C133" s="1" t="n">
        <v>1.18</v>
      </c>
      <c r="D133" s="1" t="n">
        <v>14</v>
      </c>
      <c r="E133" s="4" t="n">
        <f aca="false">C133*D133</f>
        <v>16.52</v>
      </c>
      <c r="F133" s="3" t="n">
        <v>0.7257472</v>
      </c>
      <c r="G133" s="4" t="n">
        <v>43.9314285714286</v>
      </c>
    </row>
    <row r="134" customFormat="false" ht="13.8" hidden="false" customHeight="false" outlineLevel="0" collapsed="false">
      <c r="A134" s="1" t="n">
        <v>1628</v>
      </c>
      <c r="B134" s="2" t="n">
        <v>1397.39</v>
      </c>
      <c r="C134" s="1" t="n">
        <v>1.3</v>
      </c>
      <c r="D134" s="1" t="n">
        <v>14</v>
      </c>
      <c r="E134" s="4" t="n">
        <f aca="false">C134*D134</f>
        <v>18.2</v>
      </c>
      <c r="F134" s="3" t="n">
        <v>0.76657048</v>
      </c>
      <c r="G134" s="4" t="n">
        <v>42.1192571428571</v>
      </c>
    </row>
    <row r="135" customFormat="false" ht="13.8" hidden="false" customHeight="false" outlineLevel="0" collapsed="false">
      <c r="A135" s="1" t="n">
        <v>1632</v>
      </c>
      <c r="B135" s="2" t="n">
        <v>1432.37</v>
      </c>
      <c r="C135" s="1" t="n">
        <v>1.34</v>
      </c>
      <c r="D135" s="1" t="n">
        <v>14</v>
      </c>
      <c r="E135" s="4" t="n">
        <f aca="false">C135*D135</f>
        <v>18.76</v>
      </c>
      <c r="F135" s="3" t="n">
        <v>0.82553744</v>
      </c>
      <c r="G135" s="4" t="n">
        <v>44.0051940298507</v>
      </c>
    </row>
    <row r="136" customFormat="false" ht="13.8" hidden="false" customHeight="false" outlineLevel="0" collapsed="false">
      <c r="A136" s="1" t="n">
        <v>1636</v>
      </c>
      <c r="B136" s="2" t="n">
        <v>1470.26</v>
      </c>
      <c r="C136" s="1" t="n">
        <v>1.5</v>
      </c>
      <c r="D136" s="1" t="n">
        <v>14</v>
      </c>
      <c r="E136" s="4" t="n">
        <f aca="false">C136*D136</f>
        <v>21</v>
      </c>
      <c r="F136" s="3" t="n">
        <v>0.84821704</v>
      </c>
      <c r="G136" s="4" t="n">
        <v>40.3912876190476</v>
      </c>
    </row>
    <row r="137" customFormat="false" ht="13.8" hidden="false" customHeight="false" outlineLevel="0" collapsed="false">
      <c r="A137" s="1" t="n">
        <v>1640</v>
      </c>
      <c r="B137" s="2" t="n">
        <v>1499.47</v>
      </c>
      <c r="C137" s="1" t="n">
        <v>1.6</v>
      </c>
      <c r="D137" s="1" t="n">
        <v>14</v>
      </c>
      <c r="E137" s="4" t="n">
        <f aca="false">C137*D137</f>
        <v>22.4</v>
      </c>
      <c r="F137" s="3" t="n">
        <v>0.88904032</v>
      </c>
      <c r="G137" s="4" t="n">
        <v>39.6893</v>
      </c>
    </row>
    <row r="138" customFormat="false" ht="13.8" hidden="false" customHeight="false" outlineLevel="0" collapsed="false">
      <c r="A138" s="1" t="n">
        <v>1644</v>
      </c>
      <c r="B138" s="2" t="n">
        <v>1532.19</v>
      </c>
      <c r="C138" s="1" t="n">
        <v>1.7</v>
      </c>
      <c r="D138" s="1" t="n">
        <v>14</v>
      </c>
      <c r="E138" s="4" t="n">
        <f aca="false">C138*D138</f>
        <v>23.8</v>
      </c>
      <c r="F138" s="3" t="n">
        <v>0.92079176</v>
      </c>
      <c r="G138" s="4" t="n">
        <v>38.6887294117647</v>
      </c>
    </row>
    <row r="139" customFormat="false" ht="13.8" hidden="false" customHeight="false" outlineLevel="0" collapsed="false">
      <c r="A139" s="1" t="n">
        <v>1648</v>
      </c>
      <c r="B139" s="2" t="n">
        <v>1562.24</v>
      </c>
      <c r="C139" s="1" t="n">
        <v>1.8</v>
      </c>
      <c r="D139" s="1" t="n">
        <v>14</v>
      </c>
      <c r="E139" s="4" t="n">
        <f aca="false">C139*D139</f>
        <v>25.2</v>
      </c>
      <c r="F139" s="3" t="n">
        <v>0.96615096</v>
      </c>
      <c r="G139" s="4" t="n">
        <v>38.3393238095238</v>
      </c>
    </row>
    <row r="140" customFormat="false" ht="13.8" hidden="false" customHeight="false" outlineLevel="0" collapsed="false">
      <c r="A140" s="1" t="n">
        <v>1652</v>
      </c>
      <c r="B140" s="2" t="n">
        <v>1596.83</v>
      </c>
      <c r="C140" s="1" t="n">
        <v>1.9</v>
      </c>
      <c r="D140" s="1" t="n">
        <v>14</v>
      </c>
      <c r="E140" s="4" t="n">
        <f aca="false">C140*D140</f>
        <v>26.6</v>
      </c>
      <c r="F140" s="3" t="n">
        <v>0.9979024</v>
      </c>
      <c r="G140" s="4" t="n">
        <v>37.5151278195489</v>
      </c>
    </row>
    <row r="141" customFormat="false" ht="13.8" hidden="false" customHeight="false" outlineLevel="0" collapsed="false">
      <c r="A141" s="1" t="n">
        <v>1656</v>
      </c>
      <c r="B141" s="2" t="n">
        <v>1627.74</v>
      </c>
      <c r="C141" s="1" t="n">
        <v>2.1</v>
      </c>
      <c r="D141" s="1" t="n">
        <v>14</v>
      </c>
      <c r="E141" s="4" t="n">
        <f aca="false">C141*D141</f>
        <v>29.4</v>
      </c>
      <c r="F141" s="3" t="n">
        <v>1.05233344</v>
      </c>
      <c r="G141" s="4" t="n">
        <v>35.7936544217687</v>
      </c>
    </row>
    <row r="142" customFormat="false" ht="13.8" hidden="false" customHeight="false" outlineLevel="0" collapsed="false">
      <c r="A142" s="1" t="n">
        <v>1660</v>
      </c>
      <c r="B142" s="2" t="n">
        <v>1668.6</v>
      </c>
      <c r="C142" s="1" t="n">
        <v>2.2</v>
      </c>
      <c r="D142" s="1" t="n">
        <v>14</v>
      </c>
      <c r="E142" s="4" t="n">
        <f aca="false">C142*D142</f>
        <v>30.8</v>
      </c>
      <c r="F142" s="3" t="n">
        <v>1.09315672</v>
      </c>
      <c r="G142" s="4" t="n">
        <v>35.4921012987013</v>
      </c>
    </row>
    <row r="143" customFormat="false" ht="13.8" hidden="false" customHeight="false" outlineLevel="0" collapsed="false">
      <c r="A143" s="1" t="n">
        <v>1664</v>
      </c>
      <c r="B143" s="2" t="n">
        <v>1699.94</v>
      </c>
      <c r="C143" s="1" t="n">
        <v>2.3</v>
      </c>
      <c r="D143" s="1" t="n">
        <v>14</v>
      </c>
      <c r="E143" s="4" t="n">
        <f aca="false">C143*D143</f>
        <v>32.2</v>
      </c>
      <c r="F143" s="3" t="n">
        <v>1.14305184</v>
      </c>
      <c r="G143" s="4" t="n">
        <v>35.4985043478261</v>
      </c>
    </row>
    <row r="144" customFormat="false" ht="13.8" hidden="false" customHeight="false" outlineLevel="0" collapsed="false">
      <c r="A144" s="1" t="n">
        <v>1668</v>
      </c>
      <c r="B144" s="2" t="n">
        <v>1730.68</v>
      </c>
      <c r="C144" s="1" t="n">
        <v>2.56</v>
      </c>
      <c r="D144" s="1" t="n">
        <v>14</v>
      </c>
      <c r="E144" s="4" t="n">
        <f aca="false">C144*D144</f>
        <v>35.84</v>
      </c>
      <c r="F144" s="3" t="n">
        <v>1.2020188</v>
      </c>
      <c r="G144" s="4" t="n">
        <v>33.5384709821428</v>
      </c>
    </row>
    <row r="145" customFormat="false" ht="13.8" hidden="false" customHeight="false" outlineLevel="0" collapsed="false">
      <c r="A145" s="1" t="n">
        <v>1672</v>
      </c>
      <c r="B145" s="2" t="n">
        <v>1760.99</v>
      </c>
      <c r="C145" s="1" t="n">
        <v>2.8</v>
      </c>
      <c r="D145" s="1" t="n">
        <v>14</v>
      </c>
      <c r="E145" s="4" t="n">
        <f aca="false">C145*D145</f>
        <v>39.2</v>
      </c>
      <c r="F145" s="3" t="n">
        <v>1.23377024</v>
      </c>
      <c r="G145" s="4" t="n">
        <v>31.4737306122449</v>
      </c>
    </row>
    <row r="146" customFormat="false" ht="13.8" hidden="false" customHeight="false" outlineLevel="0" collapsed="false">
      <c r="A146" s="1" t="n">
        <v>1676</v>
      </c>
      <c r="B146" s="2" t="n">
        <v>1792.84</v>
      </c>
      <c r="C146" s="1" t="n">
        <v>2.9</v>
      </c>
      <c r="D146" s="1" t="n">
        <v>14</v>
      </c>
      <c r="E146" s="4" t="n">
        <f aca="false">C146*D146</f>
        <v>40.6</v>
      </c>
      <c r="F146" s="3" t="n">
        <v>1.27912944</v>
      </c>
      <c r="G146" s="4" t="n">
        <v>31.5056512315271</v>
      </c>
    </row>
    <row r="147" customFormat="false" ht="13.8" hidden="false" customHeight="false" outlineLevel="0" collapsed="false">
      <c r="A147" s="1" t="n">
        <v>1680</v>
      </c>
      <c r="B147" s="2" t="n">
        <v>1816.8</v>
      </c>
      <c r="C147" s="1" t="n">
        <v>3.1</v>
      </c>
      <c r="D147" s="1" t="n">
        <v>14</v>
      </c>
      <c r="E147" s="4" t="n">
        <f aca="false">C147*D147</f>
        <v>43.4</v>
      </c>
      <c r="F147" s="3" t="n">
        <v>1.32448864</v>
      </c>
      <c r="G147" s="4" t="n">
        <v>30.5181714285714</v>
      </c>
    </row>
    <row r="148" customFormat="false" ht="13.8" hidden="false" customHeight="false" outlineLevel="0" collapsed="false">
      <c r="A148" s="1" t="n">
        <v>1684</v>
      </c>
      <c r="B148" s="2" t="n">
        <v>1849.06</v>
      </c>
      <c r="C148" s="1" t="n">
        <v>3.2</v>
      </c>
      <c r="D148" s="1" t="n">
        <v>14</v>
      </c>
      <c r="E148" s="4" t="n">
        <f aca="false">C148*D148</f>
        <v>44.8</v>
      </c>
      <c r="F148" s="3" t="n">
        <v>1.36531192</v>
      </c>
      <c r="G148" s="4" t="n">
        <v>30.4757125</v>
      </c>
    </row>
    <row r="149" customFormat="false" ht="13.8" hidden="false" customHeight="false" outlineLevel="0" collapsed="false">
      <c r="A149" s="1" t="n">
        <v>1688</v>
      </c>
      <c r="B149" s="2" t="n">
        <v>1877.6</v>
      </c>
      <c r="C149" s="1" t="n">
        <v>3.4</v>
      </c>
      <c r="D149" s="1" t="n">
        <v>14</v>
      </c>
      <c r="E149" s="4" t="n">
        <f aca="false">C149*D149</f>
        <v>47.6</v>
      </c>
      <c r="F149" s="3" t="n">
        <v>1.4061352</v>
      </c>
      <c r="G149" s="4" t="n">
        <v>29.5406554621849</v>
      </c>
    </row>
    <row r="150" customFormat="false" ht="13.8" hidden="false" customHeight="false" outlineLevel="0" collapsed="false">
      <c r="A150" s="1" t="n">
        <v>1692</v>
      </c>
      <c r="B150" s="2" t="n">
        <v>1912.4</v>
      </c>
      <c r="C150" s="1" t="n">
        <v>3.57</v>
      </c>
      <c r="D150" s="1" t="n">
        <v>14</v>
      </c>
      <c r="E150" s="4" t="n">
        <f aca="false">C150*D150</f>
        <v>49.98</v>
      </c>
      <c r="F150" s="3" t="n">
        <v>1.46056624</v>
      </c>
      <c r="G150" s="4" t="n">
        <v>29.2230140056022</v>
      </c>
    </row>
    <row r="151" customFormat="false" ht="13.8" hidden="false" customHeight="false" outlineLevel="0" collapsed="false">
      <c r="A151" s="1" t="n">
        <v>1696</v>
      </c>
      <c r="B151" s="2" t="n">
        <v>1934</v>
      </c>
      <c r="C151" s="1" t="n">
        <v>3.7</v>
      </c>
      <c r="D151" s="1" t="n">
        <v>14</v>
      </c>
      <c r="E151" s="4" t="n">
        <f aca="false">C151*D151</f>
        <v>51.8</v>
      </c>
      <c r="F151" s="3" t="n">
        <v>1.51046136</v>
      </c>
      <c r="G151" s="4" t="n">
        <v>29.1594857142857</v>
      </c>
    </row>
    <row r="152" customFormat="false" ht="13.8" hidden="false" customHeight="false" outlineLevel="0" collapsed="false">
      <c r="A152" s="1" t="n">
        <v>1700</v>
      </c>
      <c r="B152" s="2" t="n">
        <v>1967.31</v>
      </c>
      <c r="C152" s="1" t="n">
        <v>3.9</v>
      </c>
      <c r="D152" s="1" t="n">
        <v>14</v>
      </c>
      <c r="E152" s="4" t="n">
        <f aca="false">C152*D152</f>
        <v>54.6</v>
      </c>
      <c r="F152" s="3" t="n">
        <v>1.55128464</v>
      </c>
      <c r="G152" s="4" t="n">
        <v>28.4118065934066</v>
      </c>
    </row>
    <row r="153" customFormat="false" ht="13.8" hidden="false" customHeight="false" outlineLevel="0" collapsed="false">
      <c r="A153" s="1" t="n">
        <v>1704</v>
      </c>
      <c r="B153" s="2" t="n">
        <v>1998.53</v>
      </c>
      <c r="C153" s="1" t="n">
        <v>4.1</v>
      </c>
      <c r="D153" s="1" t="n">
        <v>14</v>
      </c>
      <c r="E153" s="4" t="n">
        <f aca="false">C153*D153</f>
        <v>57.4</v>
      </c>
      <c r="F153" s="3" t="n">
        <v>1.60571568</v>
      </c>
      <c r="G153" s="4" t="n">
        <v>27.9741407665505</v>
      </c>
    </row>
    <row r="154" customFormat="false" ht="13.8" hidden="false" customHeight="false" outlineLevel="0" collapsed="false">
      <c r="A154" s="1" t="n">
        <v>1708</v>
      </c>
      <c r="B154" s="2" t="n">
        <v>2031.99</v>
      </c>
      <c r="C154" s="1" t="n">
        <v>4.31</v>
      </c>
      <c r="D154" s="1" t="n">
        <v>14</v>
      </c>
      <c r="E154" s="4" t="n">
        <f aca="false">C154*D154</f>
        <v>60.34</v>
      </c>
      <c r="F154" s="3" t="n">
        <v>1.65107488</v>
      </c>
      <c r="G154" s="4" t="n">
        <v>27.3628584686775</v>
      </c>
    </row>
    <row r="155" customFormat="false" ht="13.8" hidden="false" customHeight="false" outlineLevel="0" collapsed="false">
      <c r="A155" s="1" t="n">
        <v>1712</v>
      </c>
      <c r="B155" s="2" t="n">
        <v>2063.77</v>
      </c>
      <c r="C155" s="1" t="n">
        <v>4.51</v>
      </c>
      <c r="D155" s="1" t="n">
        <v>14</v>
      </c>
      <c r="E155" s="4" t="n">
        <f aca="false">C155*D155</f>
        <v>63.14</v>
      </c>
      <c r="F155" s="3" t="n">
        <v>1.71004184</v>
      </c>
      <c r="G155" s="4" t="n">
        <v>27.0833360785556</v>
      </c>
    </row>
    <row r="156" customFormat="false" ht="13.8" hidden="false" customHeight="false" outlineLevel="0" collapsed="false">
      <c r="A156" s="1" t="n">
        <v>1716</v>
      </c>
      <c r="B156" s="2" t="n">
        <v>2085.29</v>
      </c>
      <c r="C156" s="1" t="n">
        <v>4.79</v>
      </c>
      <c r="D156" s="1" t="n">
        <v>14</v>
      </c>
      <c r="E156" s="4" t="n">
        <f aca="false">C156*D156</f>
        <v>67.06</v>
      </c>
      <c r="F156" s="3" t="n">
        <v>1.75993696</v>
      </c>
      <c r="G156" s="4" t="n">
        <v>26.2442135401133</v>
      </c>
    </row>
    <row r="157" customFormat="false" ht="13.8" hidden="false" customHeight="false" outlineLevel="0" collapsed="false">
      <c r="A157" s="1" t="n">
        <v>1720</v>
      </c>
      <c r="B157" s="2" t="n">
        <v>2114.06</v>
      </c>
      <c r="C157" s="1" t="n">
        <v>5</v>
      </c>
      <c r="D157" s="1" t="n">
        <v>14</v>
      </c>
      <c r="E157" s="4" t="n">
        <f aca="false">C157*D157</f>
        <v>70</v>
      </c>
      <c r="F157" s="3" t="n">
        <v>1.814368</v>
      </c>
      <c r="G157" s="4" t="n">
        <v>25.9195428571429</v>
      </c>
    </row>
    <row r="158" customFormat="false" ht="13.8" hidden="false" customHeight="false" outlineLevel="0" collapsed="false">
      <c r="A158" s="1" t="n">
        <v>1724</v>
      </c>
      <c r="B158" s="2" t="n">
        <v>2144.85</v>
      </c>
      <c r="C158" s="1" t="n">
        <v>5.2</v>
      </c>
      <c r="D158" s="1" t="n">
        <v>14</v>
      </c>
      <c r="E158" s="4" t="n">
        <f aca="false">C158*D158</f>
        <v>72.8</v>
      </c>
      <c r="F158" s="3" t="n">
        <v>1.85065536</v>
      </c>
      <c r="G158" s="4" t="n">
        <v>25.4210901098901</v>
      </c>
    </row>
    <row r="159" customFormat="false" ht="13.8" hidden="false" customHeight="false" outlineLevel="0" collapsed="false">
      <c r="A159" s="1" t="n">
        <v>1728</v>
      </c>
      <c r="B159" s="2" t="n">
        <v>2175.33</v>
      </c>
      <c r="C159" s="1" t="n">
        <v>5.4</v>
      </c>
      <c r="D159" s="1" t="n">
        <v>14</v>
      </c>
      <c r="E159" s="4" t="n">
        <f aca="false">C159*D159</f>
        <v>75.6</v>
      </c>
      <c r="F159" s="3" t="n">
        <v>1.90962232</v>
      </c>
      <c r="G159" s="4" t="n">
        <v>25.2595544973545</v>
      </c>
    </row>
    <row r="160" customFormat="false" ht="13.8" hidden="false" customHeight="false" outlineLevel="0" collapsed="false">
      <c r="A160" s="1" t="n">
        <v>1732</v>
      </c>
      <c r="B160" s="2" t="n">
        <v>2200.67</v>
      </c>
      <c r="C160" s="1" t="n">
        <v>5.6</v>
      </c>
      <c r="D160" s="1" t="n">
        <v>14</v>
      </c>
      <c r="E160" s="4" t="n">
        <f aca="false">C160*D160</f>
        <v>78.4</v>
      </c>
      <c r="F160" s="3" t="n">
        <v>1.96405336</v>
      </c>
      <c r="G160" s="4" t="n">
        <v>25.0517010204082</v>
      </c>
    </row>
    <row r="161" customFormat="false" ht="13.8" hidden="false" customHeight="false" outlineLevel="0" collapsed="false">
      <c r="A161" s="1" t="n">
        <v>1736</v>
      </c>
      <c r="B161" s="2" t="n">
        <v>2228.09</v>
      </c>
      <c r="C161" s="1" t="n">
        <v>5.8</v>
      </c>
      <c r="D161" s="1" t="n">
        <v>14</v>
      </c>
      <c r="E161" s="4" t="n">
        <f aca="false">C161*D161</f>
        <v>81.2</v>
      </c>
      <c r="F161" s="3" t="n">
        <v>2.00487664</v>
      </c>
      <c r="G161" s="4" t="n">
        <v>24.6905990147783</v>
      </c>
    </row>
    <row r="162" customFormat="false" ht="13.8" hidden="false" customHeight="false" outlineLevel="0" collapsed="false">
      <c r="A162" s="1" t="n">
        <v>1740</v>
      </c>
      <c r="B162" s="2" t="n">
        <v>2245.18</v>
      </c>
      <c r="C162" s="1" t="n">
        <v>6.1</v>
      </c>
      <c r="D162" s="1" t="n">
        <v>14</v>
      </c>
      <c r="E162" s="4" t="n">
        <f aca="false">C162*D162</f>
        <v>85.4</v>
      </c>
      <c r="F162" s="3" t="n">
        <v>2.0865232</v>
      </c>
      <c r="G162" s="4" t="n">
        <v>24.432355971897</v>
      </c>
    </row>
    <row r="163" customFormat="false" ht="13.8" hidden="false" customHeight="false" outlineLevel="0" collapsed="false">
      <c r="A163" s="1" t="n">
        <v>1744</v>
      </c>
      <c r="B163" s="2" t="n">
        <v>2285.32</v>
      </c>
      <c r="C163" s="1" t="n">
        <v>6.3</v>
      </c>
      <c r="D163" s="1" t="n">
        <v>14</v>
      </c>
      <c r="E163" s="4" t="n">
        <f aca="false">C163*D163</f>
        <v>88.2</v>
      </c>
      <c r="F163" s="3" t="n">
        <v>2.11827464</v>
      </c>
      <c r="G163" s="4" t="n">
        <v>24.0167192743764</v>
      </c>
    </row>
    <row r="164" customFormat="false" ht="13.8" hidden="false" customHeight="false" outlineLevel="0" collapsed="false">
      <c r="A164" s="1" t="n">
        <v>1748</v>
      </c>
      <c r="B164" s="2" t="n">
        <v>2312</v>
      </c>
      <c r="C164" s="1" t="n">
        <v>6.57</v>
      </c>
      <c r="D164" s="1" t="n">
        <v>14</v>
      </c>
      <c r="E164" s="4" t="n">
        <f aca="false">C164*D164</f>
        <v>91.98</v>
      </c>
      <c r="F164" s="3" t="n">
        <v>2.15909792</v>
      </c>
      <c r="G164" s="4" t="n">
        <v>23.4735585996956</v>
      </c>
    </row>
    <row r="165" customFormat="false" ht="13.8" hidden="false" customHeight="false" outlineLevel="0" collapsed="false">
      <c r="A165" s="1" t="n">
        <v>1752</v>
      </c>
      <c r="B165" s="2" t="n">
        <v>2336.53</v>
      </c>
      <c r="C165" s="1" t="n">
        <v>6.8</v>
      </c>
      <c r="D165" s="1" t="n">
        <v>14</v>
      </c>
      <c r="E165" s="4" t="n">
        <f aca="false">C165*D165</f>
        <v>95.2</v>
      </c>
      <c r="F165" s="3" t="n">
        <v>2.2452804</v>
      </c>
      <c r="G165" s="4" t="n">
        <v>23.5848781512605</v>
      </c>
    </row>
    <row r="166" customFormat="false" ht="13.8" hidden="false" customHeight="false" outlineLevel="0" collapsed="false">
      <c r="A166" s="1" t="n">
        <v>1756</v>
      </c>
      <c r="B166" s="2" t="n">
        <v>2375.04</v>
      </c>
      <c r="C166" s="1" t="n">
        <v>7.1</v>
      </c>
      <c r="D166" s="1" t="n">
        <v>14</v>
      </c>
      <c r="E166" s="4" t="n">
        <f aca="false">C166*D166</f>
        <v>99.4</v>
      </c>
      <c r="F166" s="3" t="n">
        <v>2.26796</v>
      </c>
      <c r="G166" s="4" t="n">
        <v>22.8164989939638</v>
      </c>
    </row>
    <row r="167" customFormat="false" ht="13.8" hidden="false" customHeight="false" outlineLevel="0" collapsed="false">
      <c r="A167" s="1" t="n">
        <v>1760</v>
      </c>
      <c r="B167" s="2" t="n">
        <v>2411.31</v>
      </c>
      <c r="C167" s="1" t="n">
        <v>7.4</v>
      </c>
      <c r="D167" s="1" t="n">
        <v>14</v>
      </c>
      <c r="E167" s="4" t="n">
        <f aca="false">C167*D167</f>
        <v>103.6</v>
      </c>
      <c r="F167" s="3" t="n">
        <v>2.34053472</v>
      </c>
      <c r="G167" s="4" t="n">
        <v>22.592033976834</v>
      </c>
    </row>
    <row r="168" customFormat="false" ht="13.8" hidden="false" customHeight="false" outlineLevel="0" collapsed="false">
      <c r="A168" s="1" t="n">
        <v>1764</v>
      </c>
      <c r="B168" s="2" t="n">
        <v>2436.73</v>
      </c>
      <c r="C168" s="1" t="n">
        <v>7.74</v>
      </c>
      <c r="D168" s="1" t="n">
        <v>14</v>
      </c>
      <c r="E168" s="4" t="n">
        <f aca="false">C168*D168</f>
        <v>108.36</v>
      </c>
      <c r="F168" s="3" t="n">
        <v>2.4267172</v>
      </c>
      <c r="G168" s="4" t="n">
        <v>22.394953857512</v>
      </c>
    </row>
    <row r="169" customFormat="false" ht="13.8" hidden="false" customHeight="false" outlineLevel="0" collapsed="false">
      <c r="A169" s="1" t="n">
        <v>1768</v>
      </c>
      <c r="B169" s="2" t="n">
        <v>2463.96</v>
      </c>
      <c r="C169" s="1" t="n">
        <v>8.09</v>
      </c>
      <c r="D169" s="1" t="n">
        <v>14</v>
      </c>
      <c r="E169" s="4" t="n">
        <f aca="false">C169*D169</f>
        <v>113.26</v>
      </c>
      <c r="F169" s="3" t="n">
        <v>2.50382784</v>
      </c>
      <c r="G169" s="4" t="n">
        <v>22.1069030549179</v>
      </c>
    </row>
    <row r="170" customFormat="false" ht="13.8" hidden="false" customHeight="false" outlineLevel="0" collapsed="false">
      <c r="A170" s="1" t="n">
        <v>1772</v>
      </c>
      <c r="B170" s="2" t="n">
        <v>2498.16</v>
      </c>
      <c r="C170" s="1" t="n">
        <v>8.4</v>
      </c>
      <c r="D170" s="1" t="n">
        <v>14</v>
      </c>
      <c r="E170" s="4" t="n">
        <f aca="false">C170*D170</f>
        <v>117.6</v>
      </c>
      <c r="F170" s="3" t="n">
        <v>2.5627948</v>
      </c>
      <c r="G170" s="4" t="n">
        <v>21.7924727891156</v>
      </c>
    </row>
    <row r="171" customFormat="false" ht="13.8" hidden="false" customHeight="false" outlineLevel="0" collapsed="false">
      <c r="A171" s="1" t="n">
        <v>1776</v>
      </c>
      <c r="B171" s="2" t="n">
        <v>2539</v>
      </c>
      <c r="C171" s="1" t="n">
        <v>8.7</v>
      </c>
      <c r="D171" s="1" t="n">
        <v>14</v>
      </c>
      <c r="E171" s="4" t="n">
        <f aca="false">C171*D171</f>
        <v>121.8</v>
      </c>
      <c r="F171" s="3" t="n">
        <v>2.63536952</v>
      </c>
      <c r="G171" s="4" t="n">
        <v>21.6368597701149</v>
      </c>
    </row>
    <row r="172" customFormat="false" ht="13.8" hidden="false" customHeight="false" outlineLevel="0" collapsed="false">
      <c r="A172" s="1" t="n">
        <v>1780</v>
      </c>
      <c r="B172" s="2" t="n">
        <v>2583.03</v>
      </c>
      <c r="C172" s="1" t="n">
        <v>8.95</v>
      </c>
      <c r="D172" s="1" t="n">
        <v>14</v>
      </c>
      <c r="E172" s="4" t="n">
        <f aca="false">C172*D172</f>
        <v>125.3</v>
      </c>
      <c r="F172" s="3" t="n">
        <v>2.65804912</v>
      </c>
      <c r="G172" s="4" t="n">
        <v>21.2134806065443</v>
      </c>
    </row>
    <row r="173" customFormat="false" ht="13.8" hidden="false" customHeight="false" outlineLevel="0" collapsed="false">
      <c r="A173" s="1" t="n">
        <v>1784</v>
      </c>
      <c r="B173" s="2" t="n">
        <v>2591.78</v>
      </c>
      <c r="C173" s="1" t="n">
        <v>9.39</v>
      </c>
      <c r="D173" s="1" t="n">
        <v>14</v>
      </c>
      <c r="E173" s="4" t="n">
        <f aca="false">C173*D173</f>
        <v>131.46</v>
      </c>
      <c r="F173" s="3" t="n">
        <v>2.75783936</v>
      </c>
      <c r="G173" s="4" t="n">
        <v>20.9785437395405</v>
      </c>
    </row>
    <row r="174" customFormat="false" ht="13.8" hidden="false" customHeight="false" outlineLevel="0" collapsed="false">
      <c r="A174" s="1" t="n">
        <v>1788</v>
      </c>
      <c r="B174" s="2" t="n">
        <v>2616.94</v>
      </c>
      <c r="C174" s="1" t="n">
        <v>9.6</v>
      </c>
      <c r="D174" s="1" t="n">
        <v>14</v>
      </c>
      <c r="E174" s="4" t="n">
        <f aca="false">C174*D174</f>
        <v>134.4</v>
      </c>
      <c r="F174" s="3" t="n">
        <v>2.78051896</v>
      </c>
      <c r="G174" s="4" t="n">
        <v>20.6883851190476</v>
      </c>
    </row>
    <row r="175" customFormat="false" ht="13.8" hidden="false" customHeight="false" outlineLevel="0" collapsed="false">
      <c r="A175" s="1" t="n">
        <v>1792</v>
      </c>
      <c r="B175" s="2" t="n">
        <v>2651.66</v>
      </c>
      <c r="C175" s="1" t="n">
        <v>10</v>
      </c>
      <c r="D175" s="1" t="n">
        <v>14</v>
      </c>
      <c r="E175" s="4" t="n">
        <f aca="false">C175*D175</f>
        <v>140</v>
      </c>
      <c r="F175" s="3" t="n">
        <v>2.8803092</v>
      </c>
      <c r="G175" s="4" t="n">
        <v>20.5736371428571</v>
      </c>
    </row>
    <row r="176" customFormat="false" ht="13.8" hidden="false" customHeight="false" outlineLevel="0" collapsed="false">
      <c r="A176" s="1" t="n">
        <v>1796</v>
      </c>
      <c r="B176" s="2" t="n">
        <v>2659.19</v>
      </c>
      <c r="C176" s="1" t="n">
        <v>10.3</v>
      </c>
      <c r="D176" s="1" t="n">
        <v>14</v>
      </c>
      <c r="E176" s="4" t="n">
        <f aca="false">C176*D176</f>
        <v>144.2</v>
      </c>
      <c r="F176" s="3" t="n">
        <v>2.93474024</v>
      </c>
      <c r="G176" s="4" t="n">
        <v>20.3518740638003</v>
      </c>
    </row>
    <row r="177" customFormat="false" ht="13.8" hidden="false" customHeight="false" outlineLevel="0" collapsed="false">
      <c r="A177" s="1" t="n">
        <v>1800</v>
      </c>
      <c r="B177" s="2" t="n">
        <v>2693</v>
      </c>
      <c r="C177" s="1" t="n">
        <v>10.6</v>
      </c>
      <c r="D177" s="1" t="n">
        <v>14</v>
      </c>
      <c r="E177" s="4" t="n">
        <f aca="false">C177*D177</f>
        <v>148.4</v>
      </c>
      <c r="F177" s="3" t="n">
        <v>2.9937072</v>
      </c>
      <c r="G177" s="4" t="n">
        <v>20.1732291105121</v>
      </c>
    </row>
    <row r="178" customFormat="false" ht="13.8" hidden="false" customHeight="false" outlineLevel="0" collapsed="false">
      <c r="A178" s="1" t="n">
        <v>1804</v>
      </c>
      <c r="B178" s="2" t="n">
        <v>2713.91</v>
      </c>
      <c r="C178" s="1" t="n">
        <v>10.86</v>
      </c>
      <c r="D178" s="1" t="n">
        <v>14</v>
      </c>
      <c r="E178" s="4" t="n">
        <f aca="false">C178*D178</f>
        <v>152.04</v>
      </c>
      <c r="F178" s="3" t="n">
        <v>3.04813824</v>
      </c>
      <c r="G178" s="4" t="n">
        <v>20.0482651933702</v>
      </c>
    </row>
    <row r="179" customFormat="false" ht="13.8" hidden="false" customHeight="false" outlineLevel="0" collapsed="false">
      <c r="A179" s="1" t="n">
        <v>1808</v>
      </c>
      <c r="B179" s="2" t="n">
        <v>2750.55</v>
      </c>
      <c r="C179" s="1" t="n">
        <v>11.29</v>
      </c>
      <c r="D179" s="1" t="n">
        <v>14</v>
      </c>
      <c r="E179" s="4" t="n">
        <f aca="false">C179*D179</f>
        <v>158.06</v>
      </c>
      <c r="F179" s="3" t="n">
        <v>3.1297848</v>
      </c>
      <c r="G179" s="4" t="n">
        <v>19.8012450967987</v>
      </c>
    </row>
    <row r="180" customFormat="false" ht="13.8" hidden="false" customHeight="false" outlineLevel="0" collapsed="false">
      <c r="A180" s="1" t="n">
        <v>1812</v>
      </c>
      <c r="B180" s="2" t="n">
        <v>2773.38</v>
      </c>
      <c r="C180" s="1" t="n">
        <v>11.57</v>
      </c>
      <c r="D180" s="1" t="n">
        <v>14</v>
      </c>
      <c r="E180" s="4" t="n">
        <f aca="false">C180*D180</f>
        <v>161.98</v>
      </c>
      <c r="F180" s="3" t="n">
        <v>3.18875176</v>
      </c>
      <c r="G180" s="4" t="n">
        <v>19.6860832201506</v>
      </c>
    </row>
    <row r="181" customFormat="false" ht="13.8" hidden="false" customHeight="false" outlineLevel="0" collapsed="false">
      <c r="A181" s="1" t="n">
        <v>1816</v>
      </c>
      <c r="B181" s="2" t="n">
        <v>2794.74</v>
      </c>
      <c r="C181" s="1" t="n">
        <v>11.9</v>
      </c>
      <c r="D181" s="1" t="n">
        <v>14</v>
      </c>
      <c r="E181" s="4" t="n">
        <f aca="false">C181*D181</f>
        <v>166.6</v>
      </c>
      <c r="F181" s="3" t="n">
        <v>3.23411096</v>
      </c>
      <c r="G181" s="4" t="n">
        <v>19.4124307322929</v>
      </c>
    </row>
    <row r="182" customFormat="false" ht="13.8" hidden="false" customHeight="false" outlineLevel="0" collapsed="false">
      <c r="A182" s="1" t="n">
        <v>1820</v>
      </c>
      <c r="B182" s="2" t="n">
        <v>2814.74</v>
      </c>
      <c r="C182" s="1" t="n">
        <v>12.3</v>
      </c>
      <c r="D182" s="1" t="n">
        <v>14</v>
      </c>
      <c r="E182" s="4" t="n">
        <f aca="false">C182*D182</f>
        <v>172.2</v>
      </c>
      <c r="F182" s="3" t="n">
        <v>3.32482936</v>
      </c>
      <c r="G182" s="4" t="n">
        <v>19.3079521486643</v>
      </c>
    </row>
    <row r="183" customFormat="false" ht="13.8" hidden="false" customHeight="false" outlineLevel="0" collapsed="false">
      <c r="A183" s="1" t="n">
        <v>1824</v>
      </c>
      <c r="B183" s="2" t="n">
        <v>2854.51</v>
      </c>
      <c r="C183" s="1" t="n">
        <v>12.6</v>
      </c>
      <c r="D183" s="1" t="n">
        <v>14</v>
      </c>
      <c r="E183" s="4" t="n">
        <f aca="false">C183*D183</f>
        <v>176.4</v>
      </c>
      <c r="F183" s="3" t="n">
        <v>3.36111672</v>
      </c>
      <c r="G183" s="4" t="n">
        <v>19.0539496598639</v>
      </c>
    </row>
    <row r="184" customFormat="false" ht="13.8" hidden="false" customHeight="false" outlineLevel="0" collapsed="false">
      <c r="A184" s="1" t="n">
        <v>1828</v>
      </c>
      <c r="B184" s="2" t="n">
        <v>2878.23</v>
      </c>
      <c r="C184" s="1" t="n">
        <v>12.95</v>
      </c>
      <c r="D184" s="1" t="n">
        <v>14</v>
      </c>
      <c r="E184" s="4" t="n">
        <f aca="false">C184*D184</f>
        <v>181.3</v>
      </c>
      <c r="F184" s="3" t="n">
        <v>3.42008368</v>
      </c>
      <c r="G184" s="4" t="n">
        <v>18.8642232763376</v>
      </c>
    </row>
    <row r="185" customFormat="false" ht="13.8" hidden="false" customHeight="false" outlineLevel="0" collapsed="false">
      <c r="A185" s="1" t="n">
        <v>1832</v>
      </c>
      <c r="B185" s="2" t="n">
        <v>2900.71</v>
      </c>
      <c r="C185" s="1" t="n">
        <v>13.37</v>
      </c>
      <c r="D185" s="1" t="n">
        <v>14</v>
      </c>
      <c r="E185" s="4" t="n">
        <f aca="false">C185*D185</f>
        <v>187.18</v>
      </c>
      <c r="F185" s="3" t="n">
        <v>3.4926584</v>
      </c>
      <c r="G185" s="4" t="n">
        <v>18.6593567688856</v>
      </c>
    </row>
    <row r="186" customFormat="false" ht="13.8" hidden="false" customHeight="false" outlineLevel="0" collapsed="false">
      <c r="A186" s="1" t="n">
        <v>1836</v>
      </c>
      <c r="B186" s="2" t="n">
        <v>2926.01</v>
      </c>
      <c r="C186" s="1" t="n">
        <v>13.72</v>
      </c>
      <c r="D186" s="1" t="n">
        <v>14</v>
      </c>
      <c r="E186" s="4" t="n">
        <f aca="false">C186*D186</f>
        <v>192.08</v>
      </c>
      <c r="F186" s="3" t="n">
        <v>3.56523312</v>
      </c>
      <c r="G186" s="4" t="n">
        <v>18.5611886713869</v>
      </c>
    </row>
    <row r="187" customFormat="false" ht="13.8" hidden="false" customHeight="false" outlineLevel="0" collapsed="false">
      <c r="A187" s="1" t="n">
        <v>1840</v>
      </c>
      <c r="B187" s="2" t="n">
        <v>2957.31</v>
      </c>
      <c r="C187" s="1" t="n">
        <v>14.14</v>
      </c>
      <c r="D187" s="1" t="n">
        <v>14</v>
      </c>
      <c r="E187" s="4" t="n">
        <f aca="false">C187*D187</f>
        <v>197.96</v>
      </c>
      <c r="F187" s="3" t="n">
        <v>3.62420008</v>
      </c>
      <c r="G187" s="4" t="n">
        <v>18.3077393412811</v>
      </c>
    </row>
    <row r="188" customFormat="false" ht="13.8" hidden="false" customHeight="false" outlineLevel="0" collapsed="false">
      <c r="A188" s="1" t="n">
        <v>1844</v>
      </c>
      <c r="B188" s="2" t="n">
        <v>2983.51</v>
      </c>
      <c r="C188" s="1" t="n">
        <v>14.5</v>
      </c>
      <c r="D188" s="1" t="n">
        <v>14</v>
      </c>
      <c r="E188" s="4" t="n">
        <f aca="false">C188*D188</f>
        <v>203</v>
      </c>
      <c r="F188" s="3" t="n">
        <v>3.68770296</v>
      </c>
      <c r="G188" s="4" t="n">
        <v>18.1660244334975</v>
      </c>
    </row>
    <row r="189" customFormat="false" ht="13.8" hidden="false" customHeight="false" outlineLevel="0" collapsed="false">
      <c r="A189" s="1" t="n">
        <v>1848</v>
      </c>
      <c r="B189" s="2" t="n">
        <v>3010.72</v>
      </c>
      <c r="C189" s="1" t="n">
        <v>14.96</v>
      </c>
      <c r="D189" s="1" t="n">
        <v>14</v>
      </c>
      <c r="E189" s="4" t="n">
        <f aca="false">C189*D189</f>
        <v>209.44</v>
      </c>
      <c r="F189" s="3" t="n">
        <v>3.76934952</v>
      </c>
      <c r="G189" s="4" t="n">
        <v>17.9972761650115</v>
      </c>
    </row>
    <row r="190" customFormat="false" ht="13.8" hidden="false" customHeight="false" outlineLevel="0" collapsed="false">
      <c r="A190" s="1" t="n">
        <v>1852</v>
      </c>
      <c r="B190" s="2" t="n">
        <v>3034.9</v>
      </c>
      <c r="C190" s="1" t="n">
        <v>15.36</v>
      </c>
      <c r="D190" s="1" t="n">
        <v>14</v>
      </c>
      <c r="E190" s="4" t="n">
        <f aca="false">C190*D190</f>
        <v>215.04</v>
      </c>
      <c r="F190" s="3" t="n">
        <v>3.83738832</v>
      </c>
      <c r="G190" s="4" t="n">
        <v>17.8449977678571</v>
      </c>
    </row>
    <row r="191" customFormat="false" ht="13.8" hidden="false" customHeight="false" outlineLevel="0" collapsed="false">
      <c r="A191" s="1" t="n">
        <v>1856</v>
      </c>
      <c r="B191" s="2" t="n">
        <v>3047.8</v>
      </c>
      <c r="C191" s="1" t="n">
        <v>15.89</v>
      </c>
      <c r="D191" s="1" t="n">
        <v>14</v>
      </c>
      <c r="E191" s="4" t="n">
        <f aca="false">C191*D191</f>
        <v>222.46</v>
      </c>
      <c r="F191" s="3" t="n">
        <v>3.9235708</v>
      </c>
      <c r="G191" s="4" t="n">
        <v>17.6371967994246</v>
      </c>
    </row>
    <row r="192" customFormat="false" ht="13.8" hidden="false" customHeight="false" outlineLevel="0" collapsed="false">
      <c r="A192" s="1" t="n">
        <v>1860</v>
      </c>
      <c r="B192" s="2" t="n">
        <v>3087.31</v>
      </c>
      <c r="C192" s="1" t="n">
        <v>16.24</v>
      </c>
      <c r="D192" s="1" t="n">
        <v>14</v>
      </c>
      <c r="E192" s="4" t="n">
        <f aca="false">C192*D192</f>
        <v>227.36</v>
      </c>
      <c r="F192" s="3" t="n">
        <v>3.98253776</v>
      </c>
      <c r="G192" s="4" t="n">
        <v>17.5164398311049</v>
      </c>
    </row>
    <row r="193" customFormat="false" ht="13.8" hidden="false" customHeight="false" outlineLevel="0" collapsed="false">
      <c r="A193" s="1" t="n">
        <v>1864</v>
      </c>
      <c r="B193" s="2" t="n">
        <v>3113.79</v>
      </c>
      <c r="C193" s="1" t="n">
        <v>16.72</v>
      </c>
      <c r="D193" s="1" t="n">
        <v>14</v>
      </c>
      <c r="E193" s="4" t="n">
        <f aca="false">C193*D193</f>
        <v>234.08</v>
      </c>
      <c r="F193" s="3" t="n">
        <v>4.02789696</v>
      </c>
      <c r="G193" s="4" t="n">
        <v>17.2073520164047</v>
      </c>
    </row>
    <row r="194" customFormat="false" ht="13.8" hidden="false" customHeight="false" outlineLevel="0" collapsed="false">
      <c r="A194" s="1" t="n">
        <v>1868</v>
      </c>
      <c r="B194" s="2" t="n">
        <v>3138.83</v>
      </c>
      <c r="C194" s="1" t="n">
        <v>17.18</v>
      </c>
      <c r="D194" s="1" t="n">
        <v>14</v>
      </c>
      <c r="E194" s="4" t="n">
        <f aca="false">C194*D194</f>
        <v>240.52</v>
      </c>
      <c r="F194" s="3" t="n">
        <v>4.10954352</v>
      </c>
      <c r="G194" s="4" t="n">
        <v>17.0860781639781</v>
      </c>
    </row>
    <row r="195" customFormat="false" ht="13.8" hidden="false" customHeight="false" outlineLevel="0" collapsed="false">
      <c r="A195" s="1" t="n">
        <v>1872</v>
      </c>
      <c r="B195" s="2" t="n">
        <v>3159.12</v>
      </c>
      <c r="C195" s="1" t="n">
        <v>17.65</v>
      </c>
      <c r="D195" s="1" t="n">
        <v>14</v>
      </c>
      <c r="E195" s="4" t="n">
        <f aca="false">C195*D195</f>
        <v>247.1</v>
      </c>
      <c r="F195" s="3" t="n">
        <v>4.15490272</v>
      </c>
      <c r="G195" s="4" t="n">
        <v>16.814660946985</v>
      </c>
    </row>
    <row r="196" customFormat="false" ht="13.8" hidden="false" customHeight="false" outlineLevel="0" collapsed="false">
      <c r="A196" s="1" t="n">
        <v>1876</v>
      </c>
      <c r="B196" s="2" t="n">
        <v>3182.97</v>
      </c>
      <c r="C196" s="1" t="n">
        <v>18.08</v>
      </c>
      <c r="D196" s="1" t="n">
        <v>14</v>
      </c>
      <c r="E196" s="4" t="n">
        <f aca="false">C196*D196</f>
        <v>253.12</v>
      </c>
      <c r="F196" s="3" t="n">
        <v>4.21386968</v>
      </c>
      <c r="G196" s="4" t="n">
        <v>16.6477152338812</v>
      </c>
    </row>
    <row r="197" customFormat="false" ht="13.8" hidden="false" customHeight="false" outlineLevel="0" collapsed="false">
      <c r="A197" s="1" t="n">
        <v>1880</v>
      </c>
      <c r="B197" s="2" t="n">
        <v>3194.8</v>
      </c>
      <c r="C197" s="1" t="n">
        <v>18.63</v>
      </c>
      <c r="D197" s="1" t="n">
        <v>14</v>
      </c>
      <c r="E197" s="4" t="n">
        <f aca="false">C197*D197</f>
        <v>260.82</v>
      </c>
      <c r="F197" s="3" t="n">
        <v>4.30458808</v>
      </c>
      <c r="G197" s="4" t="n">
        <v>16.5040567441147</v>
      </c>
    </row>
    <row r="198" customFormat="false" ht="13.8" hidden="false" customHeight="false" outlineLevel="0" collapsed="false">
      <c r="A198" s="1" t="n">
        <v>1884</v>
      </c>
      <c r="B198" s="2" t="n">
        <v>3217.79</v>
      </c>
      <c r="C198" s="1" t="n">
        <v>19.08</v>
      </c>
      <c r="D198" s="1" t="n">
        <v>14</v>
      </c>
      <c r="E198" s="4" t="n">
        <f aca="false">C198*D198</f>
        <v>267.12</v>
      </c>
      <c r="F198" s="3" t="n">
        <v>4.38169872</v>
      </c>
      <c r="G198" s="4" t="n">
        <v>16.4034842767296</v>
      </c>
    </row>
    <row r="199" customFormat="false" ht="13.8" hidden="false" customHeight="false" outlineLevel="0" collapsed="false">
      <c r="A199" s="1" t="n">
        <v>1888</v>
      </c>
      <c r="B199" s="2" t="n">
        <v>3242.86</v>
      </c>
      <c r="C199" s="1" t="n">
        <v>19.56</v>
      </c>
      <c r="D199" s="1" t="n">
        <v>14</v>
      </c>
      <c r="E199" s="4" t="n">
        <f aca="false">C199*D199</f>
        <v>273.84</v>
      </c>
      <c r="F199" s="3" t="n">
        <v>4.422522</v>
      </c>
      <c r="G199" s="4" t="n">
        <v>16.1500219106047</v>
      </c>
    </row>
    <row r="200" customFormat="false" ht="13.8" hidden="false" customHeight="false" outlineLevel="0" collapsed="false">
      <c r="A200" s="1" t="n">
        <v>1892</v>
      </c>
      <c r="B200" s="2" t="n">
        <v>3263.28</v>
      </c>
      <c r="C200" s="1" t="n">
        <v>20.07</v>
      </c>
      <c r="D200" s="1" t="n">
        <v>14</v>
      </c>
      <c r="E200" s="4" t="n">
        <f aca="false">C200*D200</f>
        <v>280.98</v>
      </c>
      <c r="F200" s="3" t="n">
        <v>4.50870448</v>
      </c>
      <c r="G200" s="4" t="n">
        <v>16.0463537618336</v>
      </c>
    </row>
    <row r="201" customFormat="false" ht="13.8" hidden="false" customHeight="false" outlineLevel="0" collapsed="false">
      <c r="A201" s="1" t="n">
        <v>1896</v>
      </c>
      <c r="B201" s="2" t="n">
        <v>3288.07</v>
      </c>
      <c r="C201" s="1" t="n">
        <v>20.29</v>
      </c>
      <c r="D201" s="1" t="n">
        <v>14</v>
      </c>
      <c r="E201" s="4" t="n">
        <f aca="false">C201*D201</f>
        <v>284.06</v>
      </c>
      <c r="F201" s="3" t="n">
        <v>4.52684816</v>
      </c>
      <c r="G201" s="4" t="n">
        <v>15.9362393860452</v>
      </c>
    </row>
    <row r="202" customFormat="false" ht="13.8" hidden="false" customHeight="false" outlineLevel="0" collapsed="false">
      <c r="A202" s="1" t="n">
        <v>1900</v>
      </c>
      <c r="B202" s="2" t="n">
        <v>3279.39333333333</v>
      </c>
      <c r="C202" s="3" t="n">
        <v>20.3566666666667</v>
      </c>
      <c r="D202" s="1" t="n">
        <v>14</v>
      </c>
      <c r="E202" s="4" t="n">
        <v>284.993333333333</v>
      </c>
      <c r="F202" s="3" t="n">
        <v>4.52382421333333</v>
      </c>
      <c r="G202" s="4" t="n">
        <v>15.8733649443645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G20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16" activeCellId="0" sqref="K16"/>
    </sheetView>
  </sheetViews>
  <sheetFormatPr defaultColWidth="8.75" defaultRowHeight="13.8" customHeight="false" zeroHeight="false" outlineLevelRow="0" outlineLevelCol="0"/>
  <cols>
    <col collapsed="false" customWidth="true" hidden="false" outlineLevel="0" max="1" min="1" style="1" width="9.42"/>
    <col collapsed="false" customWidth="true" hidden="false" outlineLevel="0" max="2" min="2" style="2" width="9.13"/>
    <col collapsed="false" customWidth="true" hidden="false" outlineLevel="0" max="3" min="3" style="1" width="10.85"/>
    <col collapsed="false" customWidth="true" hidden="false" outlineLevel="0" max="4" min="4" style="1" width="10.99"/>
    <col collapsed="false" customWidth="true" hidden="false" outlineLevel="0" max="5" min="5" style="1" width="10.42"/>
    <col collapsed="false" customWidth="true" hidden="false" outlineLevel="0" max="6" min="6" style="1" width="11.14"/>
    <col collapsed="false" customWidth="true" hidden="false" outlineLevel="0" max="7" min="7" style="1" width="15.15"/>
    <col collapsed="false" customWidth="true" hidden="false" outlineLevel="0" max="8" min="8" style="1" width="16.89"/>
    <col collapsed="false" customWidth="true" hidden="false" outlineLevel="0" max="9" min="9" style="1" width="11.38"/>
    <col collapsed="false" customWidth="true" hidden="false" outlineLevel="0" max="10" min="10" style="1" width="16.26"/>
    <col collapsed="false" customWidth="true" hidden="false" outlineLevel="0" max="11" min="11" style="1" width="12.61"/>
    <col collapsed="false" customWidth="true" hidden="false" outlineLevel="0" max="12" min="12" style="1" width="13.75"/>
    <col collapsed="false" customWidth="true" hidden="false" outlineLevel="0" max="14" min="13" style="1" width="11.25"/>
    <col collapsed="false" customWidth="true" hidden="false" outlineLevel="0" max="15" min="15" style="1" width="16.26"/>
    <col collapsed="false" customWidth="true" hidden="false" outlineLevel="0" max="16384" min="16384" style="1" width="11.53"/>
  </cols>
  <sheetData>
    <row r="3" customFormat="false" ht="13.8" hidden="false" customHeight="false" outlineLevel="0" collapsed="false">
      <c r="A3" s="9" t="s">
        <v>0</v>
      </c>
      <c r="B3" s="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R3" s="9" t="s">
        <v>15</v>
      </c>
      <c r="S3" s="9" t="n">
        <v>1000</v>
      </c>
      <c r="U3" s="9" t="s">
        <v>16</v>
      </c>
      <c r="V3" s="9" t="n">
        <v>0.076</v>
      </c>
    </row>
    <row r="4" customFormat="false" ht="13.8" hidden="false" customHeight="false" outlineLevel="0" collapsed="false">
      <c r="A4" s="1" t="n">
        <v>1100</v>
      </c>
      <c r="B4" s="2" t="n">
        <v>3464.71333333333</v>
      </c>
      <c r="C4" s="3" t="n">
        <v>24.2983333333333</v>
      </c>
      <c r="D4" s="1" t="n">
        <v>16</v>
      </c>
      <c r="E4" s="4" t="n">
        <v>388.773333333333</v>
      </c>
      <c r="F4" s="3" t="n">
        <v>-4.06947622666667</v>
      </c>
      <c r="G4" s="4" t="n">
        <v>10.4674656731523</v>
      </c>
      <c r="H4" s="1" t="n">
        <f aca="false">B4*2*3.1415/60</f>
        <v>362.813231222222</v>
      </c>
      <c r="I4" s="1" t="n">
        <f aca="false">B4*SIGN(F4)</f>
        <v>-3464.71333333333</v>
      </c>
      <c r="J4" s="1" t="n">
        <f aca="false">H4*H4*SIGN(F4)*S$3*POWER(V$3,4)</f>
        <v>-4391.57801778405</v>
      </c>
      <c r="K4" s="1" t="n">
        <f aca="false">F4*9.81</f>
        <v>-39.9215617836</v>
      </c>
      <c r="L4" s="1" t="n">
        <f aca="false">J4*O$4</f>
        <v>-39.587543515981</v>
      </c>
      <c r="M4" s="1" t="n">
        <f aca="false">J4*P$4</f>
        <v>-43.9157801778405</v>
      </c>
      <c r="N4" s="1" t="n">
        <f aca="false">IF(J4=0,0,K4/J4)</f>
        <v>0.00909048219613416</v>
      </c>
      <c r="O4" s="1" t="n">
        <f aca="false">AVERAGE(N4:N204)</f>
        <v>0.00901442337029379</v>
      </c>
      <c r="P4" s="1" t="n">
        <v>0.01</v>
      </c>
    </row>
    <row r="5" customFormat="false" ht="13.8" hidden="false" customHeight="false" outlineLevel="0" collapsed="false">
      <c r="A5" s="1" t="n">
        <v>1104</v>
      </c>
      <c r="B5" s="2" t="n">
        <v>3468.01</v>
      </c>
      <c r="C5" s="1" t="n">
        <v>24.3</v>
      </c>
      <c r="D5" s="1" t="n">
        <v>16</v>
      </c>
      <c r="E5" s="4" t="n">
        <f aca="false">D5*C5</f>
        <v>388.8</v>
      </c>
      <c r="F5" s="3" t="n">
        <v>-4.05057656</v>
      </c>
      <c r="G5" s="4" t="n">
        <v>10.4181495884774</v>
      </c>
      <c r="H5" s="1" t="n">
        <f aca="false">B5*2*3.1415/60</f>
        <v>363.158447166667</v>
      </c>
      <c r="I5" s="1" t="n">
        <f aca="false">B5*SIGN(F5)</f>
        <v>-3468.01</v>
      </c>
      <c r="J5" s="1" t="n">
        <f aca="false">H5*H5*SIGN(F5)*S$3*POWER(V$3,4)</f>
        <v>-4399.93914619978</v>
      </c>
      <c r="K5" s="1" t="n">
        <f aca="false">F5*9.81</f>
        <v>-39.7361560536</v>
      </c>
      <c r="L5" s="1" t="n">
        <f aca="false">J5*O$4</f>
        <v>-39.6629142673738</v>
      </c>
      <c r="M5" s="1" t="n">
        <f aca="false">J5*P$4</f>
        <v>-43.9993914619978</v>
      </c>
      <c r="N5" s="1" t="n">
        <f aca="false">IF(J5=0,0,K5/J5)</f>
        <v>0.009031069461022</v>
      </c>
    </row>
    <row r="6" customFormat="false" ht="13.8" hidden="false" customHeight="false" outlineLevel="0" collapsed="false">
      <c r="A6" s="1" t="n">
        <v>1108</v>
      </c>
      <c r="B6" s="2" t="n">
        <v>3449.07</v>
      </c>
      <c r="C6" s="1" t="n">
        <v>23.78</v>
      </c>
      <c r="D6" s="1" t="n">
        <v>16</v>
      </c>
      <c r="E6" s="4" t="n">
        <f aca="false">D6*C6</f>
        <v>380.48</v>
      </c>
      <c r="F6" s="3" t="n">
        <v>-4.02336104</v>
      </c>
      <c r="G6" s="4" t="n">
        <v>10.5744350294365</v>
      </c>
      <c r="H6" s="1" t="n">
        <f aca="false">B6*2*3.1415/60</f>
        <v>361.1751135</v>
      </c>
      <c r="I6" s="1" t="n">
        <f aca="false">B6*SIGN(F6)</f>
        <v>-3449.07</v>
      </c>
      <c r="J6" s="1" t="n">
        <f aca="false">H6*H6*SIGN(F6)*S$3*POWER(V$3,4)</f>
        <v>-4352.01120640622</v>
      </c>
      <c r="K6" s="1" t="n">
        <f aca="false">F6*9.81</f>
        <v>-39.4691718024</v>
      </c>
      <c r="L6" s="1" t="n">
        <f aca="false">J6*O$4</f>
        <v>-39.2308715268087</v>
      </c>
      <c r="M6" s="1" t="n">
        <f aca="false">J6*P$4</f>
        <v>-43.5201120640622</v>
      </c>
      <c r="N6" s="1" t="n">
        <f aca="false">IF(J6=0,0,K6/J6)</f>
        <v>0.00906917972644483</v>
      </c>
    </row>
    <row r="7" customFormat="false" ht="13.8" hidden="false" customHeight="false" outlineLevel="0" collapsed="false">
      <c r="A7" s="1" t="n">
        <v>1112</v>
      </c>
      <c r="B7" s="2" t="n">
        <v>3421.12</v>
      </c>
      <c r="C7" s="1" t="n">
        <v>23.25</v>
      </c>
      <c r="D7" s="1" t="n">
        <v>16</v>
      </c>
      <c r="E7" s="4" t="n">
        <f aca="false">D7*C7</f>
        <v>372</v>
      </c>
      <c r="F7" s="3" t="n">
        <v>-3.96439408</v>
      </c>
      <c r="G7" s="4" t="n">
        <v>10.6569733333333</v>
      </c>
      <c r="H7" s="1" t="n">
        <f aca="false">B7*2*3.1415/60</f>
        <v>358.248282666667</v>
      </c>
      <c r="I7" s="1" t="n">
        <f aca="false">B7*SIGN(F7)</f>
        <v>-3421.12</v>
      </c>
      <c r="J7" s="1" t="n">
        <f aca="false">H7*H7*SIGN(F7)*S$3*POWER(V$3,4)</f>
        <v>-4281.76278846793</v>
      </c>
      <c r="K7" s="1" t="n">
        <f aca="false">F7*9.81</f>
        <v>-38.8907059248</v>
      </c>
      <c r="L7" s="1" t="n">
        <f aca="false">J7*O$4</f>
        <v>-38.5976225464196</v>
      </c>
      <c r="M7" s="1" t="n">
        <f aca="false">J7*P$4</f>
        <v>-42.8176278846793</v>
      </c>
      <c r="N7" s="1" t="n">
        <f aca="false">IF(J7=0,0,K7/J7)</f>
        <v>0.00908287260320546</v>
      </c>
    </row>
    <row r="8" customFormat="false" ht="13.8" hidden="false" customHeight="false" outlineLevel="0" collapsed="false">
      <c r="A8" s="1" t="n">
        <v>1116</v>
      </c>
      <c r="B8" s="2" t="n">
        <v>3409.95</v>
      </c>
      <c r="C8" s="1" t="n">
        <v>22.64</v>
      </c>
      <c r="D8" s="1" t="n">
        <v>16</v>
      </c>
      <c r="E8" s="4" t="n">
        <f aca="false">D8*C8</f>
        <v>362.24</v>
      </c>
      <c r="F8" s="3" t="n">
        <v>-3.9008912</v>
      </c>
      <c r="G8" s="4" t="n">
        <v>10.7688030035336</v>
      </c>
      <c r="H8" s="1" t="n">
        <f aca="false">B8*2*3.1415/60</f>
        <v>357.0785975</v>
      </c>
      <c r="I8" s="1" t="n">
        <f aca="false">B8*SIGN(F8)</f>
        <v>-3409.95</v>
      </c>
      <c r="J8" s="1" t="n">
        <f aca="false">H8*H8*SIGN(F8)*S$3*POWER(V$3,4)</f>
        <v>-4253.84841423158</v>
      </c>
      <c r="K8" s="1" t="n">
        <f aca="false">F8*9.81</f>
        <v>-38.267742672</v>
      </c>
      <c r="L8" s="1" t="n">
        <f aca="false">J8*O$4</f>
        <v>-38.3459905589364</v>
      </c>
      <c r="M8" s="1" t="n">
        <f aca="false">J8*P$4</f>
        <v>-42.5384841423158</v>
      </c>
      <c r="N8" s="1" t="n">
        <f aca="false">IF(J8=0,0,K8/J8)</f>
        <v>0.00899602875926943</v>
      </c>
    </row>
    <row r="9" customFormat="false" ht="13.8" hidden="false" customHeight="false" outlineLevel="0" collapsed="false">
      <c r="A9" s="1" t="n">
        <v>1120</v>
      </c>
      <c r="B9" s="2" t="n">
        <v>3394.78</v>
      </c>
      <c r="C9" s="1" t="n">
        <v>22.07</v>
      </c>
      <c r="D9" s="1" t="n">
        <v>16</v>
      </c>
      <c r="E9" s="4" t="n">
        <f aca="false">D9*C9</f>
        <v>353.12</v>
      </c>
      <c r="F9" s="3" t="n">
        <v>-3.86913976</v>
      </c>
      <c r="G9" s="4" t="n">
        <v>10.9570111010421</v>
      </c>
      <c r="H9" s="1" t="n">
        <f aca="false">B9*2*3.1415/60</f>
        <v>355.490045666667</v>
      </c>
      <c r="I9" s="1" t="n">
        <f aca="false">B9*SIGN(F9)</f>
        <v>-3394.78</v>
      </c>
      <c r="J9" s="1" t="n">
        <f aca="false">H9*H9*SIGN(F9)*S$3*POWER(V$3,4)</f>
        <v>-4216.08402489495</v>
      </c>
      <c r="K9" s="1" t="n">
        <f aca="false">F9*9.81</f>
        <v>-37.9562610456</v>
      </c>
      <c r="L9" s="1" t="n">
        <f aca="false">J9*O$4</f>
        <v>-38.0055663651353</v>
      </c>
      <c r="M9" s="1" t="n">
        <f aca="false">J9*P$4</f>
        <v>-42.1608402489495</v>
      </c>
      <c r="N9" s="1" t="n">
        <f aca="false">IF(J9=0,0,K9/J9)</f>
        <v>0.00900272879323029</v>
      </c>
    </row>
    <row r="10" customFormat="false" ht="13.8" hidden="false" customHeight="false" outlineLevel="0" collapsed="false">
      <c r="A10" s="1" t="n">
        <v>1124</v>
      </c>
      <c r="B10" s="2" t="n">
        <v>3373.93</v>
      </c>
      <c r="C10" s="1" t="n">
        <v>21.46</v>
      </c>
      <c r="D10" s="1" t="n">
        <v>16</v>
      </c>
      <c r="E10" s="4" t="n">
        <f aca="false">D10*C10</f>
        <v>343.36</v>
      </c>
      <c r="F10" s="3" t="n">
        <v>-3.82378056</v>
      </c>
      <c r="G10" s="4" t="n">
        <v>11.136359972041</v>
      </c>
      <c r="H10" s="1" t="n">
        <f aca="false">B10*2*3.1415/60</f>
        <v>353.306703166667</v>
      </c>
      <c r="I10" s="1" t="n">
        <f aca="false">B10*SIGN(F10)</f>
        <v>-3373.93</v>
      </c>
      <c r="J10" s="1" t="n">
        <f aca="false">H10*H10*SIGN(F10)*S$3*POWER(V$3,4)</f>
        <v>-4164.45452068664</v>
      </c>
      <c r="K10" s="1" t="n">
        <f aca="false">F10*9.81</f>
        <v>-37.5112872936</v>
      </c>
      <c r="L10" s="1" t="n">
        <f aca="false">J10*O$4</f>
        <v>-37.5401561558033</v>
      </c>
      <c r="M10" s="1" t="n">
        <f aca="false">J10*P$4</f>
        <v>-41.6445452068664</v>
      </c>
      <c r="N10" s="1" t="n">
        <f aca="false">IF(J10=0,0,K10/J10)</f>
        <v>0.0090074911629519</v>
      </c>
    </row>
    <row r="11" customFormat="false" ht="13.8" hidden="false" customHeight="false" outlineLevel="0" collapsed="false">
      <c r="A11" s="1" t="n">
        <v>1128</v>
      </c>
      <c r="B11" s="2" t="n">
        <v>3356.28</v>
      </c>
      <c r="C11" s="1" t="n">
        <v>20.98</v>
      </c>
      <c r="D11" s="1" t="n">
        <v>16</v>
      </c>
      <c r="E11" s="4" t="n">
        <f aca="false">D11*C11</f>
        <v>335.68</v>
      </c>
      <c r="F11" s="3" t="n">
        <v>-3.80110096</v>
      </c>
      <c r="G11" s="4" t="n">
        <v>11.3235848427073</v>
      </c>
      <c r="H11" s="1" t="n">
        <f aca="false">B11*2*3.1415/60</f>
        <v>351.458454</v>
      </c>
      <c r="I11" s="1" t="n">
        <f aca="false">B11*SIGN(F11)</f>
        <v>-3356.28</v>
      </c>
      <c r="J11" s="1" t="n">
        <f aca="false">H11*H11*SIGN(F11)*S$3*POWER(V$3,4)</f>
        <v>-4120.9975636117</v>
      </c>
      <c r="K11" s="1" t="n">
        <f aca="false">F11*9.81</f>
        <v>-37.2888004176</v>
      </c>
      <c r="L11" s="1" t="n">
        <f aca="false">J11*O$4</f>
        <v>-37.1484167463451</v>
      </c>
      <c r="M11" s="1" t="n">
        <f aca="false">J11*P$4</f>
        <v>-41.209975636117</v>
      </c>
      <c r="N11" s="1" t="n">
        <f aca="false">IF(J11=0,0,K11/J11)</f>
        <v>0.00904848882873874</v>
      </c>
    </row>
    <row r="12" customFormat="false" ht="13.8" hidden="false" customHeight="false" outlineLevel="0" collapsed="false">
      <c r="A12" s="1" t="n">
        <v>1132</v>
      </c>
      <c r="B12" s="2" t="n">
        <v>3323.16</v>
      </c>
      <c r="C12" s="1" t="n">
        <v>20.44</v>
      </c>
      <c r="D12" s="1" t="n">
        <v>16</v>
      </c>
      <c r="E12" s="4" t="n">
        <f aca="false">D12*C12</f>
        <v>327.04</v>
      </c>
      <c r="F12" s="3" t="n">
        <v>-3.75120584</v>
      </c>
      <c r="G12" s="4" t="n">
        <v>11.4701744129159</v>
      </c>
      <c r="H12" s="1" t="n">
        <f aca="false">B12*2*3.1415/60</f>
        <v>347.990238</v>
      </c>
      <c r="I12" s="1" t="n">
        <f aca="false">B12*SIGN(F12)</f>
        <v>-3323.16</v>
      </c>
      <c r="J12" s="1" t="n">
        <f aca="false">H12*H12*SIGN(F12)*S$3*POWER(V$3,4)</f>
        <v>-4040.06629111607</v>
      </c>
      <c r="K12" s="1" t="n">
        <f aca="false">F12*9.81</f>
        <v>-36.7993292904</v>
      </c>
      <c r="L12" s="1" t="n">
        <f aca="false">J12*O$4</f>
        <v>-36.4188679921729</v>
      </c>
      <c r="M12" s="1" t="n">
        <f aca="false">J12*P$4</f>
        <v>-40.4006629111607</v>
      </c>
      <c r="N12" s="1" t="n">
        <f aca="false">IF(J12=0,0,K12/J12)</f>
        <v>0.0091085954137238</v>
      </c>
    </row>
    <row r="13" customFormat="false" ht="13.8" hidden="false" customHeight="false" outlineLevel="0" collapsed="false">
      <c r="A13" s="1" t="n">
        <v>1136</v>
      </c>
      <c r="B13" s="2" t="n">
        <v>3306.57</v>
      </c>
      <c r="C13" s="1" t="n">
        <v>19.9</v>
      </c>
      <c r="D13" s="1" t="n">
        <v>16</v>
      </c>
      <c r="E13" s="4" t="n">
        <f aca="false">D13*C13</f>
        <v>318.4</v>
      </c>
      <c r="F13" s="3" t="n">
        <v>-3.71491848</v>
      </c>
      <c r="G13" s="4" t="n">
        <v>11.6674575376884</v>
      </c>
      <c r="H13" s="1" t="n">
        <f aca="false">B13*2*3.1415/60</f>
        <v>346.2529885</v>
      </c>
      <c r="I13" s="1" t="n">
        <f aca="false">B13*SIGN(F13)</f>
        <v>-3306.57</v>
      </c>
      <c r="J13" s="1" t="n">
        <f aca="false">H13*H13*SIGN(F13)*S$3*POWER(V$3,4)</f>
        <v>-3999.82904813057</v>
      </c>
      <c r="K13" s="1" t="n">
        <f aca="false">F13*9.81</f>
        <v>-36.4433502888</v>
      </c>
      <c r="L13" s="1" t="n">
        <f aca="false">J13*O$4</f>
        <v>-36.0561524486482</v>
      </c>
      <c r="M13" s="1" t="n">
        <f aca="false">J13*P$4</f>
        <v>-39.9982904813057</v>
      </c>
      <c r="N13" s="1" t="n">
        <f aca="false">IF(J13=0,0,K13/J13)</f>
        <v>0.00911122696752072</v>
      </c>
    </row>
    <row r="14" customFormat="false" ht="13.8" hidden="false" customHeight="false" outlineLevel="0" collapsed="false">
      <c r="A14" s="1" t="n">
        <v>1140</v>
      </c>
      <c r="B14" s="2" t="n">
        <v>3282.25</v>
      </c>
      <c r="C14" s="1" t="n">
        <v>19.32</v>
      </c>
      <c r="D14" s="1" t="n">
        <v>16</v>
      </c>
      <c r="E14" s="4" t="n">
        <f aca="false">D14*C14</f>
        <v>309.12</v>
      </c>
      <c r="F14" s="3" t="n">
        <v>-3.65595152</v>
      </c>
      <c r="G14" s="4" t="n">
        <v>11.826965320911</v>
      </c>
      <c r="H14" s="1" t="n">
        <f aca="false">B14*2*3.1415/60</f>
        <v>343.706279166667</v>
      </c>
      <c r="I14" s="1" t="n">
        <f aca="false">B14*SIGN(F14)</f>
        <v>-3282.25</v>
      </c>
      <c r="J14" s="1" t="n">
        <f aca="false">H14*H14*SIGN(F14)*S$3*POWER(V$3,4)</f>
        <v>-3941.20751105331</v>
      </c>
      <c r="K14" s="1" t="n">
        <f aca="false">F14*9.81</f>
        <v>-35.8648844112</v>
      </c>
      <c r="L14" s="1" t="n">
        <f aca="false">J14*O$4</f>
        <v>-35.5277130948164</v>
      </c>
      <c r="M14" s="1" t="n">
        <f aca="false">J14*P$4</f>
        <v>-39.4120751105331</v>
      </c>
      <c r="N14" s="1" t="n">
        <f aca="false">IF(J14=0,0,K14/J14)</f>
        <v>0.00909997362752791</v>
      </c>
    </row>
    <row r="15" customFormat="false" ht="13.8" hidden="false" customHeight="false" outlineLevel="0" collapsed="false">
      <c r="A15" s="1" t="n">
        <v>1144</v>
      </c>
      <c r="B15" s="2" t="n">
        <v>3247.62</v>
      </c>
      <c r="C15" s="1" t="n">
        <v>18.74</v>
      </c>
      <c r="D15" s="1" t="n">
        <v>16</v>
      </c>
      <c r="E15" s="4" t="n">
        <f aca="false">D15*C15</f>
        <v>299.84</v>
      </c>
      <c r="F15" s="3" t="n">
        <v>-3.58791272</v>
      </c>
      <c r="G15" s="4" t="n">
        <v>11.966090981857</v>
      </c>
      <c r="H15" s="1" t="n">
        <f aca="false">B15*2*3.1415/60</f>
        <v>340.079941</v>
      </c>
      <c r="I15" s="1" t="n">
        <f aca="false">B15*SIGN(F15)</f>
        <v>-3247.62</v>
      </c>
      <c r="J15" s="1" t="n">
        <f aca="false">H15*H15*SIGN(F15)*S$3*POWER(V$3,4)</f>
        <v>-3858.481322687</v>
      </c>
      <c r="K15" s="1" t="n">
        <f aca="false">F15*9.81</f>
        <v>-35.1974237832</v>
      </c>
      <c r="L15" s="1" t="n">
        <f aca="false">J15*O$4</f>
        <v>-34.7819842090718</v>
      </c>
      <c r="M15" s="1" t="n">
        <f aca="false">J15*P$4</f>
        <v>-38.58481322687</v>
      </c>
      <c r="N15" s="1" t="n">
        <f aca="false">IF(J15=0,0,K15/J15)</f>
        <v>0.00912209256430686</v>
      </c>
    </row>
    <row r="16" customFormat="false" ht="13.8" hidden="false" customHeight="false" outlineLevel="0" collapsed="false">
      <c r="A16" s="1" t="n">
        <v>1148</v>
      </c>
      <c r="B16" s="2" t="n">
        <v>3223.24</v>
      </c>
      <c r="C16" s="1" t="n">
        <v>18.11</v>
      </c>
      <c r="D16" s="1" t="n">
        <v>16</v>
      </c>
      <c r="E16" s="4" t="n">
        <f aca="false">D16*C16</f>
        <v>289.76</v>
      </c>
      <c r="F16" s="3" t="n">
        <v>-3.51987392</v>
      </c>
      <c r="G16" s="4" t="n">
        <v>12.1475494202098</v>
      </c>
      <c r="H16" s="1" t="n">
        <f aca="false">B16*2*3.1415/60</f>
        <v>337.526948666667</v>
      </c>
      <c r="I16" s="1" t="n">
        <f aca="false">B16*SIGN(F16)</f>
        <v>-3223.24</v>
      </c>
      <c r="J16" s="1" t="n">
        <f aca="false">H16*H16*SIGN(F16)*S$3*POWER(V$3,4)</f>
        <v>-3800.76725388684</v>
      </c>
      <c r="K16" s="1" t="n">
        <f aca="false">F16*9.81</f>
        <v>-34.5299631552</v>
      </c>
      <c r="L16" s="1" t="n">
        <f aca="false">J16*O$4</f>
        <v>-34.2617251584848</v>
      </c>
      <c r="M16" s="1" t="n">
        <f aca="false">J16*P$4</f>
        <v>-38.0076725388684</v>
      </c>
      <c r="N16" s="1" t="n">
        <f aca="false">IF(J16=0,0,K16/J16)</f>
        <v>0.00908499806713713</v>
      </c>
    </row>
    <row r="17" customFormat="false" ht="13.8" hidden="false" customHeight="false" outlineLevel="0" collapsed="false">
      <c r="A17" s="1" t="n">
        <v>1152</v>
      </c>
      <c r="B17" s="2" t="n">
        <v>3207.09</v>
      </c>
      <c r="C17" s="1" t="n">
        <v>17.53</v>
      </c>
      <c r="D17" s="1" t="n">
        <v>16</v>
      </c>
      <c r="E17" s="4" t="n">
        <f aca="false">D17*C17</f>
        <v>280.48</v>
      </c>
      <c r="F17" s="3" t="n">
        <v>-3.45183512</v>
      </c>
      <c r="G17" s="4" t="n">
        <v>12.3068850541928</v>
      </c>
      <c r="H17" s="1" t="n">
        <f aca="false">B17*2*3.1415/60</f>
        <v>335.8357745</v>
      </c>
      <c r="I17" s="1" t="n">
        <f aca="false">B17*SIGN(F17)</f>
        <v>-3207.09</v>
      </c>
      <c r="J17" s="1" t="n">
        <f aca="false">H17*H17*SIGN(F17)*S$3*POWER(V$3,4)</f>
        <v>-3762.77528721107</v>
      </c>
      <c r="K17" s="1" t="n">
        <f aca="false">F17*9.81</f>
        <v>-33.8625025272</v>
      </c>
      <c r="L17" s="1" t="n">
        <f aca="false">J17*O$4</f>
        <v>-33.9192494861994</v>
      </c>
      <c r="M17" s="1" t="n">
        <f aca="false">J17*P$4</f>
        <v>-37.6277528721107</v>
      </c>
      <c r="N17" s="1" t="n">
        <f aca="false">IF(J17=0,0,K17/J17)</f>
        <v>0.00899934222548233</v>
      </c>
    </row>
    <row r="18" customFormat="false" ht="13.8" hidden="false" customHeight="false" outlineLevel="0" collapsed="false">
      <c r="A18" s="1" t="n">
        <v>1156</v>
      </c>
      <c r="B18" s="2" t="n">
        <v>3176.96</v>
      </c>
      <c r="C18" s="1" t="n">
        <v>17</v>
      </c>
      <c r="D18" s="1" t="n">
        <v>16</v>
      </c>
      <c r="E18" s="4" t="n">
        <f aca="false">D18*C18</f>
        <v>272</v>
      </c>
      <c r="F18" s="3" t="n">
        <v>-3.39740408</v>
      </c>
      <c r="G18" s="4" t="n">
        <v>12.4904561764706</v>
      </c>
      <c r="H18" s="1" t="n">
        <f aca="false">B18*2*3.1415/60</f>
        <v>332.680661333333</v>
      </c>
      <c r="I18" s="1" t="n">
        <f aca="false">B18*SIGN(F18)</f>
        <v>-3176.96</v>
      </c>
      <c r="J18" s="1" t="n">
        <f aca="false">H18*H18*SIGN(F18)*S$3*POWER(V$3,4)</f>
        <v>-3692.40628399934</v>
      </c>
      <c r="K18" s="1" t="n">
        <f aca="false">F18*9.81</f>
        <v>-33.3285340248</v>
      </c>
      <c r="L18" s="1" t="n">
        <f aca="false">J18*O$4</f>
        <v>-33.2849134991033</v>
      </c>
      <c r="M18" s="1" t="n">
        <f aca="false">J18*P$4</f>
        <v>-36.9240628399934</v>
      </c>
      <c r="N18" s="1" t="n">
        <f aca="false">IF(J18=0,0,K18/J18)</f>
        <v>0.00902623694722484</v>
      </c>
    </row>
    <row r="19" customFormat="false" ht="13.8" hidden="false" customHeight="false" outlineLevel="0" collapsed="false">
      <c r="A19" s="1" t="n">
        <v>1160</v>
      </c>
      <c r="B19" s="2" t="n">
        <v>3152.96</v>
      </c>
      <c r="C19" s="1" t="n">
        <v>16.45</v>
      </c>
      <c r="D19" s="1" t="n">
        <v>16</v>
      </c>
      <c r="E19" s="4" t="n">
        <f aca="false">D19*C19</f>
        <v>263.2</v>
      </c>
      <c r="F19" s="3" t="n">
        <v>-3.3112216</v>
      </c>
      <c r="G19" s="4" t="n">
        <v>12.5806291793313</v>
      </c>
      <c r="H19" s="1" t="n">
        <f aca="false">B19*2*3.1415/60</f>
        <v>330.167461333333</v>
      </c>
      <c r="I19" s="1" t="n">
        <f aca="false">B19*SIGN(F19)</f>
        <v>-3152.96</v>
      </c>
      <c r="J19" s="1" t="n">
        <f aca="false">H19*H19*SIGN(F19)*S$3*POWER(V$3,4)</f>
        <v>-3636.82923913952</v>
      </c>
      <c r="K19" s="1" t="n">
        <f aca="false">F19*9.81</f>
        <v>-32.483083896</v>
      </c>
      <c r="L19" s="1" t="n">
        <f aca="false">J19*O$4</f>
        <v>-32.7839184870671</v>
      </c>
      <c r="M19" s="1" t="n">
        <f aca="false">J19*P$4</f>
        <v>-36.3682923913952</v>
      </c>
      <c r="N19" s="1" t="n">
        <f aca="false">IF(J19=0,0,K19/J19)</f>
        <v>0.00893170444914416</v>
      </c>
    </row>
    <row r="20" customFormat="false" ht="13.8" hidden="false" customHeight="false" outlineLevel="0" collapsed="false">
      <c r="A20" s="1" t="n">
        <v>1164</v>
      </c>
      <c r="B20" s="2" t="n">
        <v>3111.45</v>
      </c>
      <c r="C20" s="1" t="n">
        <v>15.96</v>
      </c>
      <c r="D20" s="1" t="n">
        <v>16</v>
      </c>
      <c r="E20" s="4" t="n">
        <f aca="false">D20*C20</f>
        <v>255.36</v>
      </c>
      <c r="F20" s="3" t="n">
        <v>-3.25225464</v>
      </c>
      <c r="G20" s="4" t="n">
        <v>12.7359595864662</v>
      </c>
      <c r="H20" s="1" t="n">
        <f aca="false">B20*2*3.1415/60</f>
        <v>325.8206725</v>
      </c>
      <c r="I20" s="1" t="n">
        <f aca="false">B20*SIGN(F20)</f>
        <v>-3111.45</v>
      </c>
      <c r="J20" s="1" t="n">
        <f aca="false">H20*H20*SIGN(F20)*S$3*POWER(V$3,4)</f>
        <v>-3541.69893278656</v>
      </c>
      <c r="K20" s="1" t="n">
        <f aca="false">F20*9.81</f>
        <v>-31.9046180184</v>
      </c>
      <c r="L20" s="1" t="n">
        <f aca="false">J20*O$4</f>
        <v>-31.9263736302557</v>
      </c>
      <c r="M20" s="1" t="n">
        <f aca="false">J20*P$4</f>
        <v>-35.4169893278656</v>
      </c>
      <c r="N20" s="1" t="n">
        <f aca="false">IF(J20=0,0,K20/J20)</f>
        <v>0.00900828066526194</v>
      </c>
    </row>
    <row r="21" customFormat="false" ht="13.8" hidden="false" customHeight="false" outlineLevel="0" collapsed="false">
      <c r="A21" s="1" t="n">
        <v>1168</v>
      </c>
      <c r="B21" s="2" t="n">
        <v>3086.3</v>
      </c>
      <c r="C21" s="1" t="n">
        <v>15.48</v>
      </c>
      <c r="D21" s="1" t="n">
        <v>16</v>
      </c>
      <c r="E21" s="4" t="n">
        <f aca="false">D21*C21</f>
        <v>247.68</v>
      </c>
      <c r="F21" s="3" t="n">
        <v>-3.20235952</v>
      </c>
      <c r="G21" s="4" t="n">
        <v>12.929423126615</v>
      </c>
      <c r="H21" s="1" t="n">
        <f aca="false">B21*2*3.1415/60</f>
        <v>323.187048333333</v>
      </c>
      <c r="I21" s="1" t="n">
        <f aca="false">B21*SIGN(F21)</f>
        <v>-3086.3</v>
      </c>
      <c r="J21" s="1" t="n">
        <f aca="false">H21*H21*SIGN(F21)*S$3*POWER(V$3,4)</f>
        <v>-3484.67488641258</v>
      </c>
      <c r="K21" s="1" t="n">
        <f aca="false">F21*9.81</f>
        <v>-31.4151468912</v>
      </c>
      <c r="L21" s="1" t="n">
        <f aca="false">J21*O$4</f>
        <v>-31.4123347339534</v>
      </c>
      <c r="M21" s="1" t="n">
        <f aca="false">J21*P$4</f>
        <v>-34.8467488641258</v>
      </c>
      <c r="N21" s="1" t="n">
        <f aca="false">IF(J21=0,0,K21/J21)</f>
        <v>0.00901523037735707</v>
      </c>
    </row>
    <row r="22" customFormat="false" ht="13.8" hidden="false" customHeight="false" outlineLevel="0" collapsed="false">
      <c r="A22" s="1" t="n">
        <v>1172</v>
      </c>
      <c r="B22" s="2" t="n">
        <v>3061.4</v>
      </c>
      <c r="C22" s="1" t="n">
        <v>14.98</v>
      </c>
      <c r="D22" s="1" t="n">
        <v>16</v>
      </c>
      <c r="E22" s="4" t="n">
        <f aca="false">D22*C22</f>
        <v>239.68</v>
      </c>
      <c r="F22" s="3" t="n">
        <v>-3.1071052</v>
      </c>
      <c r="G22" s="4" t="n">
        <v>12.9635564085447</v>
      </c>
      <c r="H22" s="1" t="n">
        <f aca="false">B22*2*3.1415/60</f>
        <v>320.579603333333</v>
      </c>
      <c r="I22" s="1" t="n">
        <f aca="false">B22*SIGN(F22)</f>
        <v>-3061.4</v>
      </c>
      <c r="J22" s="1" t="n">
        <f aca="false">H22*H22*SIGN(F22)*S$3*POWER(V$3,4)</f>
        <v>-3428.67360027699</v>
      </c>
      <c r="K22" s="1" t="n">
        <f aca="false">F22*9.81</f>
        <v>-30.480702012</v>
      </c>
      <c r="L22" s="1" t="n">
        <f aca="false">J22*O$4</f>
        <v>-30.9075154314463</v>
      </c>
      <c r="M22" s="1" t="n">
        <f aca="false">J22*P$4</f>
        <v>-34.2867360027699</v>
      </c>
      <c r="N22" s="1" t="n">
        <f aca="false">IF(J22=0,0,K22/J22)</f>
        <v>0.00888993983257477</v>
      </c>
    </row>
    <row r="23" customFormat="false" ht="13.8" hidden="false" customHeight="false" outlineLevel="0" collapsed="false">
      <c r="A23" s="1" t="n">
        <v>1176</v>
      </c>
      <c r="B23" s="2" t="n">
        <v>3049.78</v>
      </c>
      <c r="C23" s="1" t="n">
        <v>14.43</v>
      </c>
      <c r="D23" s="1" t="n">
        <v>16</v>
      </c>
      <c r="E23" s="4" t="n">
        <f aca="false">D23*C23</f>
        <v>230.88</v>
      </c>
      <c r="F23" s="3" t="n">
        <v>-3.0390664</v>
      </c>
      <c r="G23" s="4" t="n">
        <v>13.1629695079695</v>
      </c>
      <c r="H23" s="1" t="n">
        <f aca="false">B23*2*3.1415/60</f>
        <v>319.362795666667</v>
      </c>
      <c r="I23" s="1" t="n">
        <f aca="false">B23*SIGN(F23)</f>
        <v>-3049.78</v>
      </c>
      <c r="J23" s="1" t="n">
        <f aca="false">H23*H23*SIGN(F23)*S$3*POWER(V$3,4)</f>
        <v>-3402.69491362841</v>
      </c>
      <c r="K23" s="1" t="n">
        <f aca="false">F23*9.81</f>
        <v>-29.813241384</v>
      </c>
      <c r="L23" s="1" t="n">
        <f aca="false">J23*O$4</f>
        <v>-30.6733325513917</v>
      </c>
      <c r="M23" s="1" t="n">
        <f aca="false">J23*P$4</f>
        <v>-34.0269491362841</v>
      </c>
      <c r="N23" s="1" t="n">
        <f aca="false">IF(J23=0,0,K23/J23)</f>
        <v>0.00876165572899074</v>
      </c>
    </row>
    <row r="24" customFormat="false" ht="13.8" hidden="false" customHeight="false" outlineLevel="0" collapsed="false">
      <c r="A24" s="1" t="n">
        <v>1180</v>
      </c>
      <c r="B24" s="2" t="n">
        <v>3003.32</v>
      </c>
      <c r="C24" s="1" t="n">
        <v>14.04</v>
      </c>
      <c r="D24" s="1" t="n">
        <v>16</v>
      </c>
      <c r="E24" s="4" t="n">
        <f aca="false">D24*C24</f>
        <v>224.64</v>
      </c>
      <c r="F24" s="3" t="n">
        <v>-2.9937072</v>
      </c>
      <c r="G24" s="4" t="n">
        <v>13.326688034188</v>
      </c>
      <c r="H24" s="1" t="n">
        <f aca="false">B24*2*3.1415/60</f>
        <v>314.497659333333</v>
      </c>
      <c r="I24" s="1" t="n">
        <f aca="false">B24*SIGN(F24)</f>
        <v>-3003.32</v>
      </c>
      <c r="J24" s="1" t="n">
        <f aca="false">H24*H24*SIGN(F24)*S$3*POWER(V$3,4)</f>
        <v>-3299.81205044454</v>
      </c>
      <c r="K24" s="1" t="n">
        <f aca="false">F24*9.81</f>
        <v>-29.368267632</v>
      </c>
      <c r="L24" s="1" t="n">
        <f aca="false">J24*O$4</f>
        <v>-29.7459028651044</v>
      </c>
      <c r="M24" s="1" t="n">
        <f aca="false">J24*P$4</f>
        <v>-32.9981205044454</v>
      </c>
      <c r="N24" s="1" t="n">
        <f aca="false">IF(J24=0,0,K24/J24)</f>
        <v>0.00889998193322665</v>
      </c>
    </row>
    <row r="25" customFormat="false" ht="13.8" hidden="false" customHeight="false" outlineLevel="0" collapsed="false">
      <c r="A25" s="1" t="n">
        <v>1184</v>
      </c>
      <c r="B25" s="2" t="n">
        <v>2987.73</v>
      </c>
      <c r="C25" s="1" t="n">
        <v>13.55</v>
      </c>
      <c r="D25" s="1" t="n">
        <v>16</v>
      </c>
      <c r="E25" s="4" t="n">
        <f aca="false">D25*C25</f>
        <v>216.8</v>
      </c>
      <c r="F25" s="3" t="n">
        <v>-2.93927616</v>
      </c>
      <c r="G25" s="4" t="n">
        <v>13.5575468634686</v>
      </c>
      <c r="H25" s="1" t="n">
        <f aca="false">B25*2*3.1415/60</f>
        <v>312.8651265</v>
      </c>
      <c r="I25" s="1" t="n">
        <f aca="false">B25*SIGN(F25)</f>
        <v>-2987.73</v>
      </c>
      <c r="J25" s="1" t="n">
        <f aca="false">H25*H25*SIGN(F25)*S$3*POWER(V$3,4)</f>
        <v>-3265.6428318543</v>
      </c>
      <c r="K25" s="1" t="n">
        <f aca="false">F25*9.81</f>
        <v>-28.8342991296</v>
      </c>
      <c r="L25" s="1" t="n">
        <f aca="false">J25*O$4</f>
        <v>-29.4378870624998</v>
      </c>
      <c r="M25" s="1" t="n">
        <f aca="false">J25*P$4</f>
        <v>-32.656428318543</v>
      </c>
      <c r="N25" s="1" t="n">
        <f aca="false">IF(J25=0,0,K25/J25)</f>
        <v>0.00882959362497927</v>
      </c>
    </row>
    <row r="26" customFormat="false" ht="13.8" hidden="false" customHeight="false" outlineLevel="0" collapsed="false">
      <c r="A26" s="1" t="n">
        <v>1188</v>
      </c>
      <c r="B26" s="2" t="n">
        <v>2952.33</v>
      </c>
      <c r="C26" s="1" t="n">
        <v>13.1</v>
      </c>
      <c r="D26" s="1" t="n">
        <v>16</v>
      </c>
      <c r="E26" s="4" t="n">
        <f aca="false">D26*C26</f>
        <v>209.6</v>
      </c>
      <c r="F26" s="3" t="n">
        <v>-2.86216552</v>
      </c>
      <c r="G26" s="4" t="n">
        <v>13.6553698473282</v>
      </c>
      <c r="H26" s="1" t="n">
        <f aca="false">B26*2*3.1415/60</f>
        <v>309.1581565</v>
      </c>
      <c r="I26" s="1" t="n">
        <f aca="false">B26*SIGN(F26)</f>
        <v>-2952.33</v>
      </c>
      <c r="J26" s="1" t="n">
        <f aca="false">H26*H26*SIGN(F26)*S$3*POWER(V$3,4)</f>
        <v>-3188.71560416299</v>
      </c>
      <c r="K26" s="1" t="n">
        <f aca="false">F26*9.81</f>
        <v>-28.0778437512</v>
      </c>
      <c r="L26" s="1" t="n">
        <f aca="false">J26*O$4</f>
        <v>-28.7444324633874</v>
      </c>
      <c r="M26" s="1" t="n">
        <f aca="false">J26*P$4</f>
        <v>-31.8871560416299</v>
      </c>
      <c r="N26" s="1" t="n">
        <f aca="false">IF(J26=0,0,K26/J26)</f>
        <v>0.00880537722289918</v>
      </c>
    </row>
    <row r="27" customFormat="false" ht="13.8" hidden="false" customHeight="false" outlineLevel="0" collapsed="false">
      <c r="A27" s="1" t="n">
        <v>1192</v>
      </c>
      <c r="B27" s="2" t="n">
        <v>2918.2</v>
      </c>
      <c r="C27" s="1" t="n">
        <v>12.74</v>
      </c>
      <c r="D27" s="1" t="n">
        <v>16</v>
      </c>
      <c r="E27" s="4" t="n">
        <f aca="false">D27*C27</f>
        <v>203.84</v>
      </c>
      <c r="F27" s="3" t="n">
        <v>-2.82134224</v>
      </c>
      <c r="G27" s="4" t="n">
        <v>13.840964678179</v>
      </c>
      <c r="H27" s="1" t="n">
        <f aca="false">B27*2*3.1415/60</f>
        <v>305.584176666667</v>
      </c>
      <c r="I27" s="1" t="n">
        <f aca="false">B27*SIGN(F27)</f>
        <v>-2918.2</v>
      </c>
      <c r="J27" s="1" t="n">
        <f aca="false">H27*H27*SIGN(F27)*S$3*POWER(V$3,4)</f>
        <v>-3115.41634456425</v>
      </c>
      <c r="K27" s="1" t="n">
        <f aca="false">F27*9.81</f>
        <v>-27.6773673744</v>
      </c>
      <c r="L27" s="1" t="n">
        <f aca="false">J27*O$4</f>
        <v>-28.0836819046352</v>
      </c>
      <c r="M27" s="1" t="n">
        <f aca="false">J27*P$4</f>
        <v>-31.1541634456425</v>
      </c>
      <c r="N27" s="1" t="n">
        <f aca="false">IF(J27=0,0,K27/J27)</f>
        <v>0.00888400275060866</v>
      </c>
    </row>
    <row r="28" customFormat="false" ht="13.8" hidden="false" customHeight="false" outlineLevel="0" collapsed="false">
      <c r="A28" s="1" t="n">
        <v>1196</v>
      </c>
      <c r="B28" s="2" t="n">
        <v>2895.86</v>
      </c>
      <c r="C28" s="1" t="n">
        <v>12.3</v>
      </c>
      <c r="D28" s="1" t="n">
        <v>16</v>
      </c>
      <c r="E28" s="4" t="n">
        <f aca="false">D28*C28</f>
        <v>196.8</v>
      </c>
      <c r="F28" s="3" t="n">
        <v>-2.77144712</v>
      </c>
      <c r="G28" s="4" t="n">
        <v>14.082556504065</v>
      </c>
      <c r="H28" s="1" t="n">
        <f aca="false">B28*2*3.1415/60</f>
        <v>303.244806333333</v>
      </c>
      <c r="I28" s="1" t="n">
        <f aca="false">B28*SIGN(F28)</f>
        <v>-2895.86</v>
      </c>
      <c r="J28" s="1" t="n">
        <f aca="false">H28*H28*SIGN(F28)*S$3*POWER(V$3,4)</f>
        <v>-3067.89938260293</v>
      </c>
      <c r="K28" s="1" t="n">
        <f aca="false">F28*9.81</f>
        <v>-27.1878962472</v>
      </c>
      <c r="L28" s="1" t="n">
        <f aca="false">J28*O$4</f>
        <v>-27.6553438922457</v>
      </c>
      <c r="M28" s="1" t="n">
        <f aca="false">J28*P$4</f>
        <v>-30.6789938260293</v>
      </c>
      <c r="N28" s="1" t="n">
        <f aca="false">IF(J28=0,0,K28/J28)</f>
        <v>0.0088620560378785</v>
      </c>
    </row>
    <row r="29" customFormat="false" ht="13.8" hidden="false" customHeight="false" outlineLevel="0" collapsed="false">
      <c r="A29" s="1" t="n">
        <v>1200</v>
      </c>
      <c r="B29" s="2" t="n">
        <v>2864.72</v>
      </c>
      <c r="C29" s="1" t="n">
        <v>11.93</v>
      </c>
      <c r="D29" s="1" t="n">
        <v>16</v>
      </c>
      <c r="E29" s="4" t="n">
        <f aca="false">D29*C29</f>
        <v>190.88</v>
      </c>
      <c r="F29" s="3" t="n">
        <v>-2.70794424</v>
      </c>
      <c r="G29" s="4" t="n">
        <v>14.1866316010059</v>
      </c>
      <c r="H29" s="1" t="n">
        <f aca="false">B29*2*3.1415/60</f>
        <v>299.983929333333</v>
      </c>
      <c r="I29" s="1" t="n">
        <f aca="false">B29*SIGN(F29)</f>
        <v>-2864.72</v>
      </c>
      <c r="J29" s="1" t="n">
        <f aca="false">H29*H29*SIGN(F29)*S$3*POWER(V$3,4)</f>
        <v>-3002.27415717046</v>
      </c>
      <c r="K29" s="1" t="n">
        <f aca="false">F29*9.81</f>
        <v>-26.5649329944</v>
      </c>
      <c r="L29" s="1" t="n">
        <f aca="false">J29*O$4</f>
        <v>-27.0637703264265</v>
      </c>
      <c r="M29" s="1" t="n">
        <f aca="false">J29*P$4</f>
        <v>-30.0227415717046</v>
      </c>
      <c r="N29" s="1" t="n">
        <f aca="false">IF(J29=0,0,K29/J29)</f>
        <v>0.00884827021241674</v>
      </c>
    </row>
    <row r="30" customFormat="false" ht="13.8" hidden="false" customHeight="false" outlineLevel="0" collapsed="false">
      <c r="A30" s="1" t="n">
        <v>1204</v>
      </c>
      <c r="B30" s="2" t="n">
        <v>2845.12</v>
      </c>
      <c r="C30" s="1" t="n">
        <v>11.59</v>
      </c>
      <c r="D30" s="1" t="n">
        <v>16</v>
      </c>
      <c r="E30" s="4" t="n">
        <f aca="false">D30*C30</f>
        <v>185.44</v>
      </c>
      <c r="F30" s="3" t="n">
        <v>-2.65804912</v>
      </c>
      <c r="G30" s="4" t="n">
        <v>14.3337420189819</v>
      </c>
      <c r="H30" s="1" t="n">
        <f aca="false">B30*2*3.1415/60</f>
        <v>297.931482666667</v>
      </c>
      <c r="I30" s="1" t="n">
        <f aca="false">B30*SIGN(F30)</f>
        <v>-2845.12</v>
      </c>
      <c r="J30" s="1" t="n">
        <f aca="false">H30*H30*SIGN(F30)*S$3*POWER(V$3,4)</f>
        <v>-2961.33244527601</v>
      </c>
      <c r="K30" s="1" t="n">
        <f aca="false">F30*9.81</f>
        <v>-26.0754618672</v>
      </c>
      <c r="L30" s="1" t="n">
        <f aca="false">J30*O$4</f>
        <v>-26.6947044019053</v>
      </c>
      <c r="M30" s="1" t="n">
        <f aca="false">J30*P$4</f>
        <v>-29.6133244527601</v>
      </c>
      <c r="N30" s="1" t="n">
        <f aca="false">IF(J30=0,0,K30/J30)</f>
        <v>0.00880531394197103</v>
      </c>
    </row>
    <row r="31" customFormat="false" ht="13.8" hidden="false" customHeight="false" outlineLevel="0" collapsed="false">
      <c r="A31" s="1" t="n">
        <v>1208</v>
      </c>
      <c r="B31" s="2" t="n">
        <v>2821.23</v>
      </c>
      <c r="C31" s="1" t="n">
        <v>11.2</v>
      </c>
      <c r="D31" s="1" t="n">
        <v>16</v>
      </c>
      <c r="E31" s="4" t="n">
        <f aca="false">D31*C31</f>
        <v>179.2</v>
      </c>
      <c r="F31" s="3" t="n">
        <v>-2.58093848</v>
      </c>
      <c r="G31" s="4" t="n">
        <v>14.4025584821429</v>
      </c>
      <c r="H31" s="1" t="n">
        <f aca="false">B31*2*3.1415/60</f>
        <v>295.4298015</v>
      </c>
      <c r="I31" s="1" t="n">
        <f aca="false">B31*SIGN(F31)</f>
        <v>-2821.23</v>
      </c>
      <c r="J31" s="1" t="n">
        <f aca="false">H31*H31*SIGN(F31)*S$3*POWER(V$3,4)</f>
        <v>-2911.80960621236</v>
      </c>
      <c r="K31" s="1" t="n">
        <f aca="false">F31*9.81</f>
        <v>-25.3190064888</v>
      </c>
      <c r="L31" s="1" t="n">
        <f aca="false">J31*O$4</f>
        <v>-26.2482845640866</v>
      </c>
      <c r="M31" s="1" t="n">
        <f aca="false">J31*P$4</f>
        <v>-29.1180960621236</v>
      </c>
      <c r="N31" s="1" t="n">
        <f aca="false">IF(J31=0,0,K31/J31)</f>
        <v>0.00869528228589596</v>
      </c>
    </row>
    <row r="32" customFormat="false" ht="13.8" hidden="false" customHeight="false" outlineLevel="0" collapsed="false">
      <c r="A32" s="1" t="n">
        <v>1212</v>
      </c>
      <c r="B32" s="2" t="n">
        <v>2792.39</v>
      </c>
      <c r="C32" s="1" t="n">
        <v>10.8</v>
      </c>
      <c r="D32" s="1" t="n">
        <v>16</v>
      </c>
      <c r="E32" s="4" t="n">
        <f aca="false">D32*C32</f>
        <v>172.8</v>
      </c>
      <c r="F32" s="3" t="n">
        <v>-2.54918704</v>
      </c>
      <c r="G32" s="4" t="n">
        <v>14.7522398148148</v>
      </c>
      <c r="H32" s="1" t="n">
        <f aca="false">B32*2*3.1415/60</f>
        <v>292.409772833333</v>
      </c>
      <c r="I32" s="1" t="n">
        <f aca="false">B32*SIGN(F32)</f>
        <v>-2792.39</v>
      </c>
      <c r="J32" s="1" t="n">
        <f aca="false">H32*H32*SIGN(F32)*S$3*POWER(V$3,4)</f>
        <v>-2852.58198985015</v>
      </c>
      <c r="K32" s="1" t="n">
        <f aca="false">F32*9.81</f>
        <v>-25.0075248624</v>
      </c>
      <c r="L32" s="1" t="n">
        <f aca="false">J32*O$4</f>
        <v>-25.7143817549844</v>
      </c>
      <c r="M32" s="1" t="n">
        <f aca="false">J32*P$4</f>
        <v>-28.5258198985015</v>
      </c>
      <c r="N32" s="1" t="n">
        <f aca="false">IF(J32=0,0,K32/J32)</f>
        <v>0.00876662790110151</v>
      </c>
    </row>
    <row r="33" customFormat="false" ht="13.8" hidden="false" customHeight="false" outlineLevel="0" collapsed="false">
      <c r="A33" s="1" t="n">
        <v>1216</v>
      </c>
      <c r="B33" s="2" t="n">
        <v>2758.52</v>
      </c>
      <c r="C33" s="1" t="n">
        <v>10.5</v>
      </c>
      <c r="D33" s="1" t="n">
        <v>16</v>
      </c>
      <c r="E33" s="4" t="n">
        <f aca="false">D33*C33</f>
        <v>168</v>
      </c>
      <c r="F33" s="3" t="n">
        <v>-2.50836376</v>
      </c>
      <c r="G33" s="4" t="n">
        <v>14.9307366666667</v>
      </c>
      <c r="H33" s="1" t="n">
        <f aca="false">B33*2*3.1415/60</f>
        <v>288.863019333333</v>
      </c>
      <c r="I33" s="1" t="n">
        <f aca="false">B33*SIGN(F33)</f>
        <v>-2758.52</v>
      </c>
      <c r="J33" s="1" t="n">
        <f aca="false">H33*H33*SIGN(F33)*S$3*POWER(V$3,4)</f>
        <v>-2783.80148323642</v>
      </c>
      <c r="K33" s="1" t="n">
        <f aca="false">F33*9.81</f>
        <v>-24.6070484856</v>
      </c>
      <c r="L33" s="1" t="n">
        <f aca="false">J33*O$4</f>
        <v>-25.0943651487449</v>
      </c>
      <c r="M33" s="1" t="n">
        <f aca="false">J33*P$4</f>
        <v>-27.8380148323642</v>
      </c>
      <c r="N33" s="1" t="n">
        <f aca="false">IF(J33=0,0,K33/J33)</f>
        <v>0.00883936898294632</v>
      </c>
    </row>
    <row r="34" customFormat="false" ht="13.8" hidden="false" customHeight="false" outlineLevel="0" collapsed="false">
      <c r="A34" s="1" t="n">
        <v>1220</v>
      </c>
      <c r="B34" s="2" t="n">
        <v>2736.37</v>
      </c>
      <c r="C34" s="1" t="n">
        <v>10.27</v>
      </c>
      <c r="D34" s="1" t="n">
        <v>16</v>
      </c>
      <c r="E34" s="4" t="n">
        <f aca="false">D34*C34</f>
        <v>164.32</v>
      </c>
      <c r="F34" s="3" t="n">
        <v>-2.45393272</v>
      </c>
      <c r="G34" s="4" t="n">
        <v>14.9338651411879</v>
      </c>
      <c r="H34" s="1" t="n">
        <f aca="false">B34*2*3.1415/60</f>
        <v>286.543545166667</v>
      </c>
      <c r="I34" s="1" t="n">
        <f aca="false">B34*SIGN(F34)</f>
        <v>-2736.37</v>
      </c>
      <c r="J34" s="1" t="n">
        <f aca="false">H34*H34*SIGN(F34)*S$3*POWER(V$3,4)</f>
        <v>-2739.27496658443</v>
      </c>
      <c r="K34" s="1" t="n">
        <f aca="false">F34*9.81</f>
        <v>-24.0730799832</v>
      </c>
      <c r="L34" s="1" t="n">
        <f aca="false">J34*O$4</f>
        <v>-24.6929842764394</v>
      </c>
      <c r="M34" s="1" t="n">
        <f aca="false">J34*P$4</f>
        <v>-27.3927496658443</v>
      </c>
      <c r="N34" s="1" t="n">
        <f aca="false">IF(J34=0,0,K34/J34)</f>
        <v>0.00878812104548105</v>
      </c>
    </row>
    <row r="35" customFormat="false" ht="13.8" hidden="false" customHeight="false" outlineLevel="0" collapsed="false">
      <c r="A35" s="1" t="n">
        <v>1224</v>
      </c>
      <c r="B35" s="2" t="n">
        <v>2712.08</v>
      </c>
      <c r="C35" s="1" t="n">
        <v>9.9</v>
      </c>
      <c r="D35" s="1" t="n">
        <v>16</v>
      </c>
      <c r="E35" s="4" t="n">
        <f aca="false">D35*C35</f>
        <v>158.4</v>
      </c>
      <c r="F35" s="3" t="n">
        <v>-2.381358</v>
      </c>
      <c r="G35" s="4" t="n">
        <v>15.0338257575758</v>
      </c>
      <c r="H35" s="1" t="n">
        <f aca="false">B35*2*3.1415/60</f>
        <v>283.999977333333</v>
      </c>
      <c r="I35" s="1" t="n">
        <f aca="false">B35*SIGN(F35)</f>
        <v>-2712.08</v>
      </c>
      <c r="J35" s="1" t="n">
        <f aca="false">H35*H35*SIGN(F35)*S$3*POWER(V$3,4)</f>
        <v>-2690.85923792912</v>
      </c>
      <c r="K35" s="1" t="n">
        <f aca="false">F35*9.81</f>
        <v>-23.36112198</v>
      </c>
      <c r="L35" s="1" t="n">
        <f aca="false">J35*O$4</f>
        <v>-24.2565444005592</v>
      </c>
      <c r="M35" s="1" t="n">
        <f aca="false">J35*P$4</f>
        <v>-26.9085923792912</v>
      </c>
      <c r="N35" s="1" t="n">
        <f aca="false">IF(J35=0,0,K35/J35)</f>
        <v>0.00868165887338598</v>
      </c>
    </row>
    <row r="36" customFormat="false" ht="13.8" hidden="false" customHeight="false" outlineLevel="0" collapsed="false">
      <c r="A36" s="1" t="n">
        <v>1228</v>
      </c>
      <c r="B36" s="2" t="n">
        <v>2681.26</v>
      </c>
      <c r="C36" s="1" t="n">
        <v>9.5</v>
      </c>
      <c r="D36" s="1" t="n">
        <v>16</v>
      </c>
      <c r="E36" s="4" t="n">
        <f aca="false">D36*C36</f>
        <v>152</v>
      </c>
      <c r="F36" s="3" t="n">
        <v>-2.35414248</v>
      </c>
      <c r="G36" s="4" t="n">
        <v>15.4877794736842</v>
      </c>
      <c r="H36" s="1" t="n">
        <f aca="false">B36*2*3.1415/60</f>
        <v>280.772609666667</v>
      </c>
      <c r="I36" s="1" t="n">
        <f aca="false">B36*SIGN(F36)</f>
        <v>-2681.26</v>
      </c>
      <c r="J36" s="1" t="n">
        <f aca="false">H36*H36*SIGN(F36)*S$3*POWER(V$3,4)</f>
        <v>-2630.0490393602</v>
      </c>
      <c r="K36" s="1" t="n">
        <f aca="false">F36*9.81</f>
        <v>-23.0941377288</v>
      </c>
      <c r="L36" s="1" t="n">
        <f aca="false">J36*O$4</f>
        <v>-23.7083755254273</v>
      </c>
      <c r="M36" s="1" t="n">
        <f aca="false">J36*P$4</f>
        <v>-26.300490393602</v>
      </c>
      <c r="N36" s="1" t="n">
        <f aca="false">IF(J36=0,0,K36/J36)</f>
        <v>0.00878087723201466</v>
      </c>
    </row>
    <row r="37" customFormat="false" ht="13.8" hidden="false" customHeight="false" outlineLevel="0" collapsed="false">
      <c r="A37" s="1" t="n">
        <v>1232</v>
      </c>
      <c r="B37" s="2" t="n">
        <v>2660.64</v>
      </c>
      <c r="C37" s="1" t="n">
        <v>9.2</v>
      </c>
      <c r="D37" s="1" t="n">
        <v>16</v>
      </c>
      <c r="E37" s="4" t="n">
        <f aca="false">D37*C37</f>
        <v>147.2</v>
      </c>
      <c r="F37" s="3" t="n">
        <v>-2.27703184</v>
      </c>
      <c r="G37" s="4" t="n">
        <v>15.4689663043478</v>
      </c>
      <c r="H37" s="1" t="n">
        <f aca="false">B37*2*3.1415/60</f>
        <v>278.613352</v>
      </c>
      <c r="I37" s="1" t="n">
        <f aca="false">B37*SIGN(F37)</f>
        <v>-2660.64</v>
      </c>
      <c r="J37" s="1" t="n">
        <f aca="false">H37*H37*SIGN(F37)*S$3*POWER(V$3,4)</f>
        <v>-2589.75225395708</v>
      </c>
      <c r="K37" s="1" t="n">
        <f aca="false">F37*9.81</f>
        <v>-22.3376823504</v>
      </c>
      <c r="L37" s="1" t="n">
        <f aca="false">J37*O$4</f>
        <v>-23.3451232413417</v>
      </c>
      <c r="M37" s="1" t="n">
        <f aca="false">J37*P$4</f>
        <v>-25.8975225395708</v>
      </c>
      <c r="N37" s="1" t="n">
        <f aca="false">IF(J37=0,0,K37/J37)</f>
        <v>0.00862541284258699</v>
      </c>
    </row>
    <row r="38" customFormat="false" ht="13.8" hidden="false" customHeight="false" outlineLevel="0" collapsed="false">
      <c r="A38" s="1" t="n">
        <v>1236</v>
      </c>
      <c r="B38" s="2" t="n">
        <v>2629</v>
      </c>
      <c r="C38" s="1" t="n">
        <v>8.9</v>
      </c>
      <c r="D38" s="1" t="n">
        <v>16</v>
      </c>
      <c r="E38" s="4" t="n">
        <f aca="false">D38*C38</f>
        <v>142.4</v>
      </c>
      <c r="F38" s="3" t="n">
        <v>-2.23620856</v>
      </c>
      <c r="G38" s="4" t="n">
        <v>15.7037117977528</v>
      </c>
      <c r="H38" s="1" t="n">
        <f aca="false">B38*2*3.1415/60</f>
        <v>275.300116666667</v>
      </c>
      <c r="I38" s="1" t="n">
        <f aca="false">B38*SIGN(F38)</f>
        <v>-2629</v>
      </c>
      <c r="J38" s="1" t="n">
        <f aca="false">H38*H38*SIGN(F38)*S$3*POWER(V$3,4)</f>
        <v>-2528.52446471127</v>
      </c>
      <c r="K38" s="1" t="n">
        <f aca="false">F38*9.81</f>
        <v>-21.9372059736</v>
      </c>
      <c r="L38" s="1" t="n">
        <f aca="false">J38*O$4</f>
        <v>-22.7931900270529</v>
      </c>
      <c r="M38" s="1" t="n">
        <f aca="false">J38*P$4</f>
        <v>-25.2852446471127</v>
      </c>
      <c r="N38" s="1" t="n">
        <f aca="false">IF(J38=0,0,K38/J38)</f>
        <v>0.00867589231576012</v>
      </c>
    </row>
    <row r="39" customFormat="false" ht="13.8" hidden="false" customHeight="false" outlineLevel="0" collapsed="false">
      <c r="A39" s="1" t="n">
        <v>1240</v>
      </c>
      <c r="B39" s="2" t="n">
        <v>2598.64</v>
      </c>
      <c r="C39" s="1" t="n">
        <v>8.6</v>
      </c>
      <c r="D39" s="1" t="n">
        <v>16</v>
      </c>
      <c r="E39" s="4" t="n">
        <f aca="false">D39*C39</f>
        <v>137.6</v>
      </c>
      <c r="F39" s="3" t="n">
        <v>-2.19538528</v>
      </c>
      <c r="G39" s="4" t="n">
        <v>15.9548348837209</v>
      </c>
      <c r="H39" s="1" t="n">
        <f aca="false">B39*2*3.1415/60</f>
        <v>272.120918666667</v>
      </c>
      <c r="I39" s="1" t="n">
        <f aca="false">B39*SIGN(F39)</f>
        <v>-2598.64</v>
      </c>
      <c r="J39" s="1" t="n">
        <f aca="false">H39*H39*SIGN(F39)*S$3*POWER(V$3,4)</f>
        <v>-2470.46227273561</v>
      </c>
      <c r="K39" s="1" t="n">
        <f aca="false">F39*9.81</f>
        <v>-21.5367295968</v>
      </c>
      <c r="L39" s="1" t="n">
        <f aca="false">J39*O$4</f>
        <v>-22.269792846777</v>
      </c>
      <c r="M39" s="1" t="n">
        <f aca="false">J39*P$4</f>
        <v>-24.7046227273561</v>
      </c>
      <c r="N39" s="1" t="n">
        <f aca="false">IF(J39=0,0,K39/J39)</f>
        <v>0.00871769216412757</v>
      </c>
    </row>
    <row r="40" customFormat="false" ht="13.8" hidden="false" customHeight="false" outlineLevel="0" collapsed="false">
      <c r="A40" s="1" t="n">
        <v>1244</v>
      </c>
      <c r="B40" s="2" t="n">
        <v>2575.93</v>
      </c>
      <c r="C40" s="1" t="n">
        <v>8.2</v>
      </c>
      <c r="D40" s="1" t="n">
        <v>16</v>
      </c>
      <c r="E40" s="4" t="n">
        <f aca="false">D40*C40</f>
        <v>131.2</v>
      </c>
      <c r="F40" s="3" t="n">
        <v>-2.11827464</v>
      </c>
      <c r="G40" s="4" t="n">
        <v>16.1453859756098</v>
      </c>
      <c r="H40" s="1" t="n">
        <f aca="false">B40*2*3.1415/60</f>
        <v>269.742803166667</v>
      </c>
      <c r="I40" s="1" t="n">
        <f aca="false">B40*SIGN(F40)</f>
        <v>-2575.93</v>
      </c>
      <c r="J40" s="1" t="n">
        <f aca="false">H40*H40*SIGN(F40)*S$3*POWER(V$3,4)</f>
        <v>-2427.47128846402</v>
      </c>
      <c r="K40" s="1" t="n">
        <f aca="false">F40*9.81</f>
        <v>-20.7802742184</v>
      </c>
      <c r="L40" s="1" t="n">
        <f aca="false">J40*O$4</f>
        <v>-21.8822539134472</v>
      </c>
      <c r="M40" s="1" t="n">
        <f aca="false">J40*P$4</f>
        <v>-24.2747128846402</v>
      </c>
      <c r="N40" s="1" t="n">
        <f aca="false">IF(J40=0,0,K40/J40)</f>
        <v>0.0085604613810072</v>
      </c>
    </row>
    <row r="41" customFormat="false" ht="13.8" hidden="false" customHeight="false" outlineLevel="0" collapsed="false">
      <c r="A41" s="1" t="n">
        <v>1248</v>
      </c>
      <c r="B41" s="2" t="n">
        <v>2547.87</v>
      </c>
      <c r="C41" s="1" t="n">
        <v>7.9</v>
      </c>
      <c r="D41" s="1" t="n">
        <v>16</v>
      </c>
      <c r="E41" s="4" t="n">
        <f aca="false">D41*C41</f>
        <v>126.4</v>
      </c>
      <c r="F41" s="3" t="n">
        <v>-2.08198728</v>
      </c>
      <c r="G41" s="4" t="n">
        <v>16.4714183544304</v>
      </c>
      <c r="H41" s="1" t="n">
        <f aca="false">B41*2*3.1415/60</f>
        <v>266.8044535</v>
      </c>
      <c r="I41" s="1" t="n">
        <f aca="false">B41*SIGN(F41)</f>
        <v>-2547.87</v>
      </c>
      <c r="J41" s="1" t="n">
        <f aca="false">H41*H41*SIGN(F41)*S$3*POWER(V$3,4)</f>
        <v>-2374.87370107729</v>
      </c>
      <c r="K41" s="1" t="n">
        <f aca="false">F41*9.81</f>
        <v>-20.4242952168</v>
      </c>
      <c r="L41" s="1" t="n">
        <f aca="false">J41*O$4</f>
        <v>-21.4081169924872</v>
      </c>
      <c r="M41" s="1" t="n">
        <f aca="false">J41*P$4</f>
        <v>-23.7487370107729</v>
      </c>
      <c r="N41" s="1" t="n">
        <f aca="false">IF(J41=0,0,K41/J41)</f>
        <v>0.00860016059276548</v>
      </c>
    </row>
    <row r="42" customFormat="false" ht="13.8" hidden="false" customHeight="false" outlineLevel="0" collapsed="false">
      <c r="A42" s="1" t="n">
        <v>1252</v>
      </c>
      <c r="B42" s="2" t="n">
        <v>2517.32</v>
      </c>
      <c r="C42" s="1" t="n">
        <v>7.57</v>
      </c>
      <c r="D42" s="1" t="n">
        <v>16</v>
      </c>
      <c r="E42" s="4" t="n">
        <f aca="false">D42*C42</f>
        <v>121.12</v>
      </c>
      <c r="F42" s="3" t="n">
        <v>-2.02302032</v>
      </c>
      <c r="G42" s="4" t="n">
        <v>16.7026116248349</v>
      </c>
      <c r="H42" s="1" t="n">
        <f aca="false">B42*2*3.1415/60</f>
        <v>263.605359333333</v>
      </c>
      <c r="I42" s="1" t="n">
        <f aca="false">B42*SIGN(F42)</f>
        <v>-2517.32</v>
      </c>
      <c r="J42" s="1" t="n">
        <f aca="false">H42*H42*SIGN(F42)*S$3*POWER(V$3,4)</f>
        <v>-2318.26372867556</v>
      </c>
      <c r="K42" s="1" t="n">
        <f aca="false">F42*9.81</f>
        <v>-19.8458293392</v>
      </c>
      <c r="L42" s="1" t="n">
        <f aca="false">J42*O$4</f>
        <v>-20.8978107342773</v>
      </c>
      <c r="M42" s="1" t="n">
        <f aca="false">J42*P$4</f>
        <v>-23.1826372867555</v>
      </c>
      <c r="N42" s="1" t="n">
        <f aca="false">IF(J42=0,0,K42/J42)</f>
        <v>0.0085606435082078</v>
      </c>
    </row>
    <row r="43" customFormat="false" ht="13.8" hidden="false" customHeight="false" outlineLevel="0" collapsed="false">
      <c r="A43" s="1" t="n">
        <v>1256</v>
      </c>
      <c r="B43" s="2" t="n">
        <v>2482.17</v>
      </c>
      <c r="C43" s="1" t="n">
        <v>7.19</v>
      </c>
      <c r="D43" s="1" t="n">
        <v>16</v>
      </c>
      <c r="E43" s="4" t="n">
        <f aca="false">D43*C43</f>
        <v>115.04</v>
      </c>
      <c r="F43" s="3" t="n">
        <v>-1.97766112</v>
      </c>
      <c r="G43" s="4" t="n">
        <v>17.191073713491</v>
      </c>
      <c r="H43" s="1" t="n">
        <f aca="false">B43*2*3.1415/60</f>
        <v>259.9245685</v>
      </c>
      <c r="I43" s="1" t="n">
        <f aca="false">B43*SIGN(F43)</f>
        <v>-2482.17</v>
      </c>
      <c r="J43" s="1" t="n">
        <f aca="false">H43*H43*SIGN(F43)*S$3*POWER(V$3,4)</f>
        <v>-2253.97467675877</v>
      </c>
      <c r="K43" s="1" t="n">
        <f aca="false">F43*9.81</f>
        <v>-19.4008555872</v>
      </c>
      <c r="L43" s="1" t="n">
        <f aca="false">J43*O$4</f>
        <v>-20.3182820022246</v>
      </c>
      <c r="M43" s="1" t="n">
        <f aca="false">J43*P$4</f>
        <v>-22.5397467675877</v>
      </c>
      <c r="N43" s="1" t="n">
        <f aca="false">IF(J43=0,0,K43/J43)</f>
        <v>0.00860739731783437</v>
      </c>
    </row>
    <row r="44" customFormat="false" ht="13.8" hidden="false" customHeight="false" outlineLevel="0" collapsed="false">
      <c r="A44" s="1" t="n">
        <v>1260</v>
      </c>
      <c r="B44" s="2" t="n">
        <v>2440.17</v>
      </c>
      <c r="C44" s="1" t="n">
        <v>6.89</v>
      </c>
      <c r="D44" s="1" t="n">
        <v>16</v>
      </c>
      <c r="E44" s="4" t="n">
        <f aca="false">D44*C44</f>
        <v>110.24</v>
      </c>
      <c r="F44" s="3" t="n">
        <v>-1.94137376</v>
      </c>
      <c r="G44" s="4" t="n">
        <v>17.6104296081277</v>
      </c>
      <c r="H44" s="1" t="n">
        <f aca="false">B44*2*3.1415/60</f>
        <v>255.5264685</v>
      </c>
      <c r="I44" s="1" t="n">
        <f aca="false">B44*SIGN(F44)</f>
        <v>-2440.17</v>
      </c>
      <c r="J44" s="1" t="n">
        <f aca="false">H44*H44*SIGN(F44)*S$3*POWER(V$3,4)</f>
        <v>-2178.34245008896</v>
      </c>
      <c r="K44" s="1" t="n">
        <f aca="false">F44*9.81</f>
        <v>-19.0448765856</v>
      </c>
      <c r="L44" s="1" t="n">
        <f aca="false">J44*O$4</f>
        <v>-19.636501090585</v>
      </c>
      <c r="M44" s="1" t="n">
        <f aca="false">J44*P$4</f>
        <v>-21.7834245008896</v>
      </c>
      <c r="N44" s="1" t="n">
        <f aca="false">IF(J44=0,0,K44/J44)</f>
        <v>0.00874282947790061</v>
      </c>
    </row>
    <row r="45" customFormat="false" ht="13.8" hidden="false" customHeight="false" outlineLevel="0" collapsed="false">
      <c r="A45" s="1" t="n">
        <v>1264</v>
      </c>
      <c r="B45" s="2" t="n">
        <v>2418.69</v>
      </c>
      <c r="C45" s="1" t="n">
        <v>6.53</v>
      </c>
      <c r="D45" s="1" t="n">
        <v>16</v>
      </c>
      <c r="E45" s="4" t="n">
        <f aca="false">D45*C45</f>
        <v>104.48</v>
      </c>
      <c r="F45" s="3" t="n">
        <v>-1.8597272</v>
      </c>
      <c r="G45" s="4" t="n">
        <v>17.7998392036753</v>
      </c>
      <c r="H45" s="1" t="n">
        <f aca="false">B45*2*3.1415/60</f>
        <v>253.2771545</v>
      </c>
      <c r="I45" s="1" t="n">
        <f aca="false">B45*SIGN(F45)</f>
        <v>-2418.69</v>
      </c>
      <c r="J45" s="1" t="n">
        <f aca="false">H45*H45*SIGN(F45)*S$3*POWER(V$3,4)</f>
        <v>-2140.16080375411</v>
      </c>
      <c r="K45" s="1" t="n">
        <f aca="false">F45*9.81</f>
        <v>-18.243923832</v>
      </c>
      <c r="L45" s="1" t="n">
        <f aca="false">J45*O$4</f>
        <v>-19.2923155655478</v>
      </c>
      <c r="M45" s="1" t="n">
        <f aca="false">J45*P$4</f>
        <v>-21.4016080375411</v>
      </c>
      <c r="N45" s="1" t="n">
        <f aca="false">IF(J45=0,0,K45/J45)</f>
        <v>0.00852455750053821</v>
      </c>
    </row>
    <row r="46" customFormat="false" ht="13.8" hidden="false" customHeight="false" outlineLevel="0" collapsed="false">
      <c r="A46" s="1" t="n">
        <v>1268</v>
      </c>
      <c r="B46" s="2" t="n">
        <v>2369.48</v>
      </c>
      <c r="C46" s="1" t="n">
        <v>6.29</v>
      </c>
      <c r="D46" s="1" t="n">
        <v>16</v>
      </c>
      <c r="E46" s="4" t="n">
        <f aca="false">D46*C46</f>
        <v>100.64</v>
      </c>
      <c r="F46" s="3" t="n">
        <v>-1.814368</v>
      </c>
      <c r="G46" s="4" t="n">
        <v>18.0282988871224</v>
      </c>
      <c r="H46" s="1" t="n">
        <f aca="false">B46*2*3.1415/60</f>
        <v>248.124047333333</v>
      </c>
      <c r="I46" s="1" t="n">
        <f aca="false">B46*SIGN(F46)</f>
        <v>-2369.48</v>
      </c>
      <c r="J46" s="1" t="n">
        <f aca="false">H46*H46*SIGN(F46)*S$3*POWER(V$3,4)</f>
        <v>-2053.96047660015</v>
      </c>
      <c r="K46" s="1" t="n">
        <f aca="false">F46*9.81</f>
        <v>-17.79895008</v>
      </c>
      <c r="L46" s="1" t="n">
        <f aca="false">J46*O$4</f>
        <v>-18.5152693219242</v>
      </c>
      <c r="M46" s="1" t="n">
        <f aca="false">J46*P$4</f>
        <v>-20.5396047660015</v>
      </c>
      <c r="N46" s="1" t="n">
        <f aca="false">IF(J46=0,0,K46/J46)</f>
        <v>0.00866567311434443</v>
      </c>
    </row>
    <row r="47" customFormat="false" ht="13.8" hidden="false" customHeight="false" outlineLevel="0" collapsed="false">
      <c r="A47" s="1" t="n">
        <v>1272</v>
      </c>
      <c r="B47" s="2" t="n">
        <v>2345.45</v>
      </c>
      <c r="C47" s="1" t="n">
        <v>6</v>
      </c>
      <c r="D47" s="1" t="n">
        <v>16</v>
      </c>
      <c r="E47" s="4" t="n">
        <f aca="false">D47*C47</f>
        <v>96</v>
      </c>
      <c r="F47" s="3" t="n">
        <v>-1.76447288</v>
      </c>
      <c r="G47" s="4" t="n">
        <v>18.3799258333333</v>
      </c>
      <c r="H47" s="1" t="n">
        <f aca="false">B47*2*3.1415/60</f>
        <v>245.607705833333</v>
      </c>
      <c r="I47" s="1" t="n">
        <f aca="false">B47*SIGN(F47)</f>
        <v>-2345.45</v>
      </c>
      <c r="J47" s="1" t="n">
        <f aca="false">H47*H47*SIGN(F47)*S$3*POWER(V$3,4)</f>
        <v>-2012.51138585871</v>
      </c>
      <c r="K47" s="1" t="n">
        <f aca="false">F47*9.81</f>
        <v>-17.3094789528</v>
      </c>
      <c r="L47" s="1" t="n">
        <f aca="false">J47*O$4</f>
        <v>-18.1416296696671</v>
      </c>
      <c r="M47" s="1" t="n">
        <f aca="false">J47*P$4</f>
        <v>-20.1251138585871</v>
      </c>
      <c r="N47" s="1" t="n">
        <f aca="false">IF(J47=0,0,K47/J47)</f>
        <v>0.0086009346701978</v>
      </c>
    </row>
    <row r="48" customFormat="false" ht="13.8" hidden="false" customHeight="false" outlineLevel="0" collapsed="false">
      <c r="A48" s="1" t="n">
        <v>1276</v>
      </c>
      <c r="B48" s="2" t="n">
        <v>2306.38</v>
      </c>
      <c r="C48" s="1" t="n">
        <v>5.75</v>
      </c>
      <c r="D48" s="1" t="n">
        <v>16</v>
      </c>
      <c r="E48" s="4" t="n">
        <f aca="false">D48*C48</f>
        <v>92</v>
      </c>
      <c r="F48" s="3" t="n">
        <v>-1.70097</v>
      </c>
      <c r="G48" s="4" t="n">
        <v>18.4888043478261</v>
      </c>
      <c r="H48" s="1" t="n">
        <f aca="false">B48*2*3.1415/60</f>
        <v>241.516425666667</v>
      </c>
      <c r="I48" s="1" t="n">
        <f aca="false">B48*SIGN(F48)</f>
        <v>-2306.38</v>
      </c>
      <c r="J48" s="1" t="n">
        <f aca="false">H48*H48*SIGN(F48)*S$3*POWER(V$3,4)</f>
        <v>-1946.02186027663</v>
      </c>
      <c r="K48" s="1" t="n">
        <f aca="false">F48*9.81</f>
        <v>-16.6865157</v>
      </c>
      <c r="L48" s="1" t="n">
        <f aca="false">J48*O$4</f>
        <v>-17.5422649363802</v>
      </c>
      <c r="M48" s="1" t="n">
        <f aca="false">J48*P$4</f>
        <v>-19.4602186027663</v>
      </c>
      <c r="N48" s="1" t="n">
        <f aca="false">IF(J48=0,0,K48/J48)</f>
        <v>0.00857468050108544</v>
      </c>
    </row>
    <row r="49" customFormat="false" ht="13.8" hidden="false" customHeight="false" outlineLevel="0" collapsed="false">
      <c r="A49" s="1" t="n">
        <v>1280</v>
      </c>
      <c r="B49" s="2" t="n">
        <v>2277.85</v>
      </c>
      <c r="C49" s="1" t="n">
        <v>5.5</v>
      </c>
      <c r="D49" s="1" t="n">
        <v>16</v>
      </c>
      <c r="E49" s="4" t="n">
        <f aca="false">D49*C49</f>
        <v>88</v>
      </c>
      <c r="F49" s="3" t="n">
        <v>-1.66921856</v>
      </c>
      <c r="G49" s="4" t="n">
        <v>18.9683927272727</v>
      </c>
      <c r="H49" s="1" t="n">
        <f aca="false">B49*2*3.1415/60</f>
        <v>238.528859166667</v>
      </c>
      <c r="I49" s="1" t="n">
        <f aca="false">B49*SIGN(F49)</f>
        <v>-2277.85</v>
      </c>
      <c r="J49" s="1" t="n">
        <f aca="false">H49*H49*SIGN(F49)*S$3*POWER(V$3,4)</f>
        <v>-1898.17492135477</v>
      </c>
      <c r="K49" s="1" t="n">
        <f aca="false">F49*9.81</f>
        <v>-16.3750340736</v>
      </c>
      <c r="L49" s="1" t="n">
        <f aca="false">J49*O$4</f>
        <v>-17.110952371966</v>
      </c>
      <c r="M49" s="1" t="n">
        <f aca="false">J49*P$4</f>
        <v>-18.9817492135477</v>
      </c>
      <c r="N49" s="1" t="n">
        <f aca="false">IF(J49=0,0,K49/J49)</f>
        <v>0.00862672554008499</v>
      </c>
    </row>
    <row r="50" customFormat="false" ht="13.8" hidden="false" customHeight="false" outlineLevel="0" collapsed="false">
      <c r="A50" s="1" t="n">
        <v>1284</v>
      </c>
      <c r="B50" s="2" t="n">
        <v>2248.15</v>
      </c>
      <c r="C50" s="1" t="n">
        <v>5.3</v>
      </c>
      <c r="D50" s="1" t="n">
        <v>16</v>
      </c>
      <c r="E50" s="4" t="n">
        <f aca="false">D50*C50</f>
        <v>84.8</v>
      </c>
      <c r="F50" s="3" t="n">
        <v>-1.6102516</v>
      </c>
      <c r="G50" s="4" t="n">
        <v>18.9888160377358</v>
      </c>
      <c r="H50" s="1" t="n">
        <f aca="false">B50*2*3.1415/60</f>
        <v>235.418774166667</v>
      </c>
      <c r="I50" s="1" t="n">
        <f aca="false">B50*SIGN(F50)</f>
        <v>-2248.15</v>
      </c>
      <c r="J50" s="1" t="n">
        <f aca="false">H50*H50*SIGN(F50)*S$3*POWER(V$3,4)</f>
        <v>-1848.99849258766</v>
      </c>
      <c r="K50" s="1" t="n">
        <f aca="false">F50*9.81</f>
        <v>-15.796568196</v>
      </c>
      <c r="L50" s="1" t="n">
        <f aca="false">J50*O$4</f>
        <v>-16.6676552232202</v>
      </c>
      <c r="M50" s="1" t="n">
        <f aca="false">J50*P$4</f>
        <v>-18.4899849258766</v>
      </c>
      <c r="N50" s="1" t="n">
        <f aca="false">IF(J50=0,0,K50/J50)</f>
        <v>0.00854331047825399</v>
      </c>
    </row>
    <row r="51" customFormat="false" ht="13.8" hidden="false" customHeight="false" outlineLevel="0" collapsed="false">
      <c r="A51" s="1" t="n">
        <v>1288</v>
      </c>
      <c r="B51" s="2" t="n">
        <v>2222.36</v>
      </c>
      <c r="C51" s="1" t="n">
        <v>5</v>
      </c>
      <c r="D51" s="1" t="n">
        <v>16</v>
      </c>
      <c r="E51" s="4" t="n">
        <f aca="false">D51*C51</f>
        <v>80</v>
      </c>
      <c r="F51" s="3" t="n">
        <v>-1.55582056</v>
      </c>
      <c r="G51" s="4" t="n">
        <v>19.447757</v>
      </c>
      <c r="H51" s="1" t="n">
        <f aca="false">B51*2*3.1415/60</f>
        <v>232.718131333333</v>
      </c>
      <c r="I51" s="1" t="n">
        <f aca="false">B51*SIGN(F51)</f>
        <v>-2222.36</v>
      </c>
      <c r="J51" s="1" t="n">
        <f aca="false">H51*H51*SIGN(F51)*S$3*POWER(V$3,4)</f>
        <v>-1806.8196750242</v>
      </c>
      <c r="K51" s="1" t="n">
        <f aca="false">F51*9.81</f>
        <v>-15.2625996936</v>
      </c>
      <c r="L51" s="1" t="n">
        <f aca="false">J51*O$4</f>
        <v>-16.2874375044448</v>
      </c>
      <c r="M51" s="1" t="n">
        <f aca="false">J51*P$4</f>
        <v>-18.068196750242</v>
      </c>
      <c r="N51" s="1" t="n">
        <f aca="false">IF(J51=0,0,K51/J51)</f>
        <v>0.00844721800663123</v>
      </c>
      <c r="P51" s="1" t="s">
        <v>17</v>
      </c>
    </row>
    <row r="52" customFormat="false" ht="13.8" hidden="false" customHeight="false" outlineLevel="0" collapsed="false">
      <c r="A52" s="1" t="n">
        <v>1292</v>
      </c>
      <c r="B52" s="2" t="n">
        <v>2198.72</v>
      </c>
      <c r="C52" s="1" t="n">
        <v>4.8</v>
      </c>
      <c r="D52" s="1" t="n">
        <v>16</v>
      </c>
      <c r="E52" s="4" t="n">
        <f aca="false">D52*C52</f>
        <v>76.8</v>
      </c>
      <c r="F52" s="3" t="n">
        <v>-1.51499728</v>
      </c>
      <c r="G52" s="4" t="n">
        <v>19.7265270833333</v>
      </c>
      <c r="H52" s="1" t="n">
        <f aca="false">B52*2*3.1415/60</f>
        <v>230.242629333333</v>
      </c>
      <c r="I52" s="1" t="n">
        <f aca="false">B52*SIGN(F52)</f>
        <v>-2198.72</v>
      </c>
      <c r="J52" s="1" t="n">
        <f aca="false">H52*H52*SIGN(F52)*S$3*POWER(V$3,4)</f>
        <v>-1768.58460995758</v>
      </c>
      <c r="K52" s="1" t="n">
        <f aca="false">F52*9.81</f>
        <v>-14.8621233168</v>
      </c>
      <c r="L52" s="1" t="n">
        <f aca="false">J52*O$4</f>
        <v>-15.9427704403435</v>
      </c>
      <c r="M52" s="1" t="n">
        <f aca="false">J52*P$4</f>
        <v>-17.6858460995758</v>
      </c>
      <c r="N52" s="1" t="n">
        <f aca="false">IF(J52=0,0,K52/J52)</f>
        <v>0.0084033996638456</v>
      </c>
      <c r="P52" s="1" t="s">
        <v>18</v>
      </c>
      <c r="Q52" s="1" t="n">
        <v>1100</v>
      </c>
      <c r="R52" s="1" t="n">
        <f aca="false">Q52+50</f>
        <v>1150</v>
      </c>
      <c r="S52" s="1" t="n">
        <f aca="false">R52+50</f>
        <v>1200</v>
      </c>
      <c r="T52" s="1" t="n">
        <f aca="false">S52+50</f>
        <v>1250</v>
      </c>
      <c r="U52" s="1" t="n">
        <f aca="false">T52+50</f>
        <v>1300</v>
      </c>
      <c r="V52" s="1" t="n">
        <f aca="false">U52+50</f>
        <v>1350</v>
      </c>
      <c r="W52" s="1" t="n">
        <f aca="false">V52+50</f>
        <v>1400</v>
      </c>
      <c r="X52" s="1" t="n">
        <f aca="false">W52+50</f>
        <v>1450</v>
      </c>
      <c r="Y52" s="1" t="n">
        <f aca="false">X52+50</f>
        <v>1500</v>
      </c>
      <c r="Z52" s="1" t="n">
        <f aca="false">Y52+50</f>
        <v>1550</v>
      </c>
      <c r="AA52" s="1" t="n">
        <f aca="false">Z52+50</f>
        <v>1600</v>
      </c>
      <c r="AB52" s="1" t="n">
        <f aca="false">AA52+50</f>
        <v>1650</v>
      </c>
      <c r="AC52" s="1" t="n">
        <f aca="false">AB52+50</f>
        <v>1700</v>
      </c>
      <c r="AD52" s="1" t="n">
        <f aca="false">AC52+50</f>
        <v>1750</v>
      </c>
      <c r="AE52" s="1" t="n">
        <f aca="false">AD52+50</f>
        <v>1800</v>
      </c>
      <c r="AF52" s="1" t="n">
        <f aca="false">AE52+50</f>
        <v>1850</v>
      </c>
      <c r="AG52" s="1" t="n">
        <f aca="false">AF52+50</f>
        <v>1900</v>
      </c>
    </row>
    <row r="53" customFormat="false" ht="13.8" hidden="false" customHeight="false" outlineLevel="0" collapsed="false">
      <c r="A53" s="1" t="n">
        <v>1296</v>
      </c>
      <c r="B53" s="2" t="n">
        <v>2156.96</v>
      </c>
      <c r="C53" s="1" t="n">
        <v>4.6</v>
      </c>
      <c r="D53" s="1" t="n">
        <v>16</v>
      </c>
      <c r="E53" s="4" t="n">
        <f aca="false">D53*C53</f>
        <v>73.6</v>
      </c>
      <c r="F53" s="3" t="n">
        <v>-1.48778176</v>
      </c>
      <c r="G53" s="4" t="n">
        <v>20.2144260869565</v>
      </c>
      <c r="H53" s="1" t="n">
        <f aca="false">B53*2*3.1415/60</f>
        <v>225.869661333333</v>
      </c>
      <c r="I53" s="1" t="n">
        <f aca="false">B53*SIGN(F53)</f>
        <v>-2156.96</v>
      </c>
      <c r="J53" s="1" t="n">
        <f aca="false">H53*H53*SIGN(F53)*S$3*POWER(V$3,4)</f>
        <v>-1702.04159968356</v>
      </c>
      <c r="K53" s="1" t="n">
        <f aca="false">F53*9.81</f>
        <v>-14.5951390656</v>
      </c>
      <c r="L53" s="1" t="n">
        <f aca="false">J53*O$4</f>
        <v>-15.3429235733997</v>
      </c>
      <c r="M53" s="1" t="n">
        <f aca="false">J53*P$4</f>
        <v>-17.0204159968356</v>
      </c>
      <c r="N53" s="1" t="n">
        <f aca="false">IF(J53=0,0,K53/J53)</f>
        <v>0.00857507775856568</v>
      </c>
      <c r="P53" s="1" t="s">
        <v>19</v>
      </c>
      <c r="Q53" s="1" t="n">
        <f aca="false">I4</f>
        <v>-3464.71333333333</v>
      </c>
      <c r="R53" s="1" t="n">
        <f aca="false">0.5*(I16+I17)</f>
        <v>-3215.165</v>
      </c>
      <c r="S53" s="8" t="n">
        <f aca="false">I29</f>
        <v>-2864.72</v>
      </c>
      <c r="T53" s="1" t="n">
        <f aca="false">0.5*(I41+I42)</f>
        <v>-2532.595</v>
      </c>
      <c r="U53" s="1" t="n">
        <f aca="false">I54</f>
        <v>-2140.15</v>
      </c>
      <c r="V53" s="1" t="n">
        <f aca="false">0.5*(I66+I67)</f>
        <v>-1721.28</v>
      </c>
      <c r="W53" s="1" t="n">
        <f aca="false">I79</f>
        <v>-1246.14</v>
      </c>
      <c r="X53" s="1" t="n">
        <f aca="false">0.5*(I91+I92)</f>
        <v>-609.535</v>
      </c>
      <c r="Y53" s="1" t="n">
        <f aca="false">I104</f>
        <v>0</v>
      </c>
      <c r="Z53" s="1" t="n">
        <f aca="false">0.5*(I116+I117)</f>
        <v>601.645</v>
      </c>
      <c r="AA53" s="1" t="n">
        <f aca="false">I129</f>
        <v>1237.07</v>
      </c>
      <c r="AB53" s="1" t="n">
        <f aca="false">0.5*(I141+I142)</f>
        <v>1719.52</v>
      </c>
      <c r="AC53" s="1" t="n">
        <f aca="false">I154</f>
        <v>2128.7</v>
      </c>
      <c r="AD53" s="1" t="n">
        <f aca="false">0.5*(I166+I167)</f>
        <v>2517.895</v>
      </c>
      <c r="AE53" s="1" t="n">
        <f aca="false">I179</f>
        <v>2888</v>
      </c>
      <c r="AF53" s="1" t="n">
        <f aca="false">0.5*(I191+I192)</f>
        <v>3251.21</v>
      </c>
      <c r="AG53" s="1" t="n">
        <f aca="false">I204</f>
        <v>3533.445</v>
      </c>
    </row>
    <row r="54" customFormat="false" ht="13.8" hidden="false" customHeight="false" outlineLevel="0" collapsed="false">
      <c r="A54" s="1" t="n">
        <v>1300</v>
      </c>
      <c r="B54" s="2" t="n">
        <v>2140.15</v>
      </c>
      <c r="C54" s="1" t="n">
        <v>4.4</v>
      </c>
      <c r="D54" s="1" t="n">
        <v>16</v>
      </c>
      <c r="E54" s="4" t="n">
        <f aca="false">D54*C54</f>
        <v>70.4</v>
      </c>
      <c r="F54" s="3" t="n">
        <v>-1.43788664</v>
      </c>
      <c r="G54" s="4" t="n">
        <v>20.4245261363636</v>
      </c>
      <c r="H54" s="1" t="n">
        <f aca="false">B54*2*3.1415/60</f>
        <v>224.109374166667</v>
      </c>
      <c r="I54" s="1" t="n">
        <f aca="false">B54*SIGN(F54)</f>
        <v>-2140.15</v>
      </c>
      <c r="J54" s="1" t="n">
        <f aca="false">H54*H54*SIGN(F54)*S$3*POWER(V$3,4)</f>
        <v>-1675.61567624677</v>
      </c>
      <c r="K54" s="1" t="n">
        <f aca="false">F54*9.81</f>
        <v>-14.1056679384</v>
      </c>
      <c r="L54" s="1" t="n">
        <f aca="false">J54*O$4</f>
        <v>-15.1047091115895</v>
      </c>
      <c r="M54" s="1" t="n">
        <f aca="false">J54*P$4</f>
        <v>-16.7561567624677</v>
      </c>
      <c r="N54" s="1" t="n">
        <f aca="false">IF(J54=0,0,K54/J54)</f>
        <v>0.00841820003140306</v>
      </c>
      <c r="P54" s="1" t="s">
        <v>20</v>
      </c>
      <c r="Q54" s="1" t="n">
        <f aca="false">Q53*2*3.1415/60</f>
        <v>-362.813231222222</v>
      </c>
      <c r="R54" s="1" t="n">
        <f aca="false">R53*2*3.1415/60</f>
        <v>-336.681361583333</v>
      </c>
      <c r="S54" s="1" t="n">
        <f aca="false">S53*2*3.1415/60</f>
        <v>-299.983929333333</v>
      </c>
      <c r="T54" s="1" t="n">
        <f aca="false">T53*2*3.1415/60</f>
        <v>-265.204906416667</v>
      </c>
      <c r="U54" s="1" t="n">
        <f aca="false">U53*2*3.1415/60</f>
        <v>-224.109374166667</v>
      </c>
      <c r="V54" s="1" t="n">
        <f aca="false">V53*2*3.1415/60</f>
        <v>-180.246704</v>
      </c>
      <c r="W54" s="1" t="n">
        <f aca="false">W53*2*3.1415/60</f>
        <v>-130.491627</v>
      </c>
      <c r="X54" s="1" t="n">
        <f aca="false">X53*2*3.1415/60</f>
        <v>-63.8284734166667</v>
      </c>
      <c r="Y54" s="1" t="n">
        <f aca="false">Y53*2*3.1415/60</f>
        <v>0</v>
      </c>
      <c r="Z54" s="1" t="n">
        <f aca="false">Z53*2*3.1415/60</f>
        <v>63.0022589166667</v>
      </c>
      <c r="AA54" s="1" t="n">
        <f aca="false">AA53*2*3.1415/60</f>
        <v>129.541846833333</v>
      </c>
      <c r="AB54" s="1" t="n">
        <f aca="false">AB53*2*3.1415/60</f>
        <v>180.062402666667</v>
      </c>
      <c r="AC54" s="1" t="n">
        <f aca="false">AC53*2*3.1415/60</f>
        <v>222.910368333333</v>
      </c>
      <c r="AD54" s="1" t="n">
        <f aca="false">AD53*2*3.1415/60</f>
        <v>263.665571416667</v>
      </c>
      <c r="AE54" s="1" t="n">
        <f aca="false">AE53*2*3.1415/60</f>
        <v>302.421733333333</v>
      </c>
      <c r="AF54" s="1" t="n">
        <f aca="false">AF53*2*3.1415/60</f>
        <v>340.455873833333</v>
      </c>
      <c r="AG54" s="1" t="n">
        <f aca="false">AG53*2*3.1415/60</f>
        <v>370.01058225</v>
      </c>
    </row>
    <row r="55" customFormat="false" ht="13.8" hidden="false" customHeight="false" outlineLevel="0" collapsed="false">
      <c r="A55" s="1" t="n">
        <v>1304</v>
      </c>
      <c r="B55" s="2" t="n">
        <v>2105.77</v>
      </c>
      <c r="C55" s="1" t="n">
        <v>4.2</v>
      </c>
      <c r="D55" s="1" t="n">
        <v>16</v>
      </c>
      <c r="E55" s="4" t="n">
        <f aca="false">D55*C55</f>
        <v>67.2</v>
      </c>
      <c r="F55" s="3" t="n">
        <v>-1.39706336</v>
      </c>
      <c r="G55" s="4" t="n">
        <v>20.7896333333333</v>
      </c>
      <c r="H55" s="1" t="n">
        <f aca="false">B55*2*3.1415/60</f>
        <v>220.509215166667</v>
      </c>
      <c r="I55" s="1" t="n">
        <f aca="false">B55*SIGN(F55)</f>
        <v>-2105.77</v>
      </c>
      <c r="J55" s="1" t="n">
        <f aca="false">H55*H55*SIGN(F55)*S$3*POWER(V$3,4)</f>
        <v>-1622.21292066047</v>
      </c>
      <c r="K55" s="1" t="n">
        <f aca="false">F55*9.81</f>
        <v>-13.7051915616</v>
      </c>
      <c r="L55" s="1" t="n">
        <f aca="false">J55*O$4</f>
        <v>-14.6233140635943</v>
      </c>
      <c r="M55" s="1" t="n">
        <f aca="false">J55*P$4</f>
        <v>-16.2221292066047</v>
      </c>
      <c r="N55" s="1" t="n">
        <f aca="false">IF(J55=0,0,K55/J55)</f>
        <v>0.00844845419923053</v>
      </c>
      <c r="P55" s="1" t="s">
        <v>21</v>
      </c>
      <c r="Q55" s="1" t="n">
        <f aca="false">$K4</f>
        <v>-39.9215617836</v>
      </c>
      <c r="R55" s="1" t="n">
        <f aca="false">0.5*($K16+$K17)</f>
        <v>-34.1962328412</v>
      </c>
      <c r="S55" s="1" t="n">
        <f aca="false">$K29</f>
        <v>-26.5649329944</v>
      </c>
      <c r="T55" s="1" t="n">
        <f aca="false">0.5*($K41+$K42)</f>
        <v>-20.135062278</v>
      </c>
      <c r="U55" s="1" t="n">
        <f aca="false">$K54</f>
        <v>-14.1056679384</v>
      </c>
      <c r="V55" s="1" t="n">
        <f aca="false">0.5*($K66+$K67)</f>
        <v>-9.0552158532</v>
      </c>
      <c r="W55" s="1" t="n">
        <f aca="false">$K79</f>
        <v>-4.7167217712</v>
      </c>
      <c r="X55" s="1" t="n">
        <f aca="false">0.5*($K91+$K92)</f>
        <v>-1.1346830676</v>
      </c>
      <c r="Y55" s="1" t="n">
        <f aca="false">$K104</f>
        <v>0</v>
      </c>
      <c r="Z55" s="1" t="n">
        <f aca="false">0.5*($K116+$K117)</f>
        <v>1.3794186312</v>
      </c>
      <c r="AA55" s="1" t="n">
        <f aca="false">$K129</f>
        <v>5.9181509016</v>
      </c>
      <c r="AB55" s="1" t="n">
        <f aca="false">0.5*($K141+$K142)</f>
        <v>11.4135767388</v>
      </c>
      <c r="AC55" s="1" t="n">
        <f aca="false">$K154</f>
        <v>17.8879448304</v>
      </c>
      <c r="AD55" s="1" t="n">
        <f aca="false">0.5*($K166+$K167)</f>
        <v>25.6527368028</v>
      </c>
      <c r="AE55" s="1" t="n">
        <f aca="false">$K179</f>
        <v>33.5510209008</v>
      </c>
      <c r="AF55" s="1" t="n">
        <f aca="false">0.5*($K191+$K192)</f>
        <v>43.607427696</v>
      </c>
      <c r="AG55" s="1" t="n">
        <f aca="false">$K204</f>
        <v>51.4537981896</v>
      </c>
    </row>
    <row r="56" customFormat="false" ht="13.8" hidden="false" customHeight="false" outlineLevel="0" collapsed="false">
      <c r="A56" s="1" t="n">
        <v>1308</v>
      </c>
      <c r="B56" s="2" t="n">
        <v>2081.37</v>
      </c>
      <c r="C56" s="1" t="n">
        <v>3.98</v>
      </c>
      <c r="D56" s="1" t="n">
        <v>16</v>
      </c>
      <c r="E56" s="4" t="n">
        <f aca="false">D56*C56</f>
        <v>63.68</v>
      </c>
      <c r="F56" s="3" t="n">
        <v>-1.34716824</v>
      </c>
      <c r="G56" s="4" t="n">
        <v>21.1552801507538</v>
      </c>
      <c r="H56" s="1" t="n">
        <f aca="false">B56*2*3.1415/60</f>
        <v>217.9541285</v>
      </c>
      <c r="I56" s="1" t="n">
        <f aca="false">B56*SIGN(F56)</f>
        <v>-2081.37</v>
      </c>
      <c r="J56" s="1" t="n">
        <f aca="false">H56*H56*SIGN(F56)*S$3*POWER(V$3,4)</f>
        <v>-1584.83687977192</v>
      </c>
      <c r="K56" s="1" t="n">
        <f aca="false">F56*9.81</f>
        <v>-13.2157204344</v>
      </c>
      <c r="L56" s="1" t="n">
        <f aca="false">J56*O$4</f>
        <v>-14.2863906071195</v>
      </c>
      <c r="M56" s="1" t="n">
        <f aca="false">J56*P$4</f>
        <v>-15.8483687977192</v>
      </c>
      <c r="N56" s="1" t="n">
        <f aca="false">IF(J56=0,0,K56/J56)</f>
        <v>0.00833885215764407</v>
      </c>
    </row>
    <row r="57" customFormat="false" ht="13.8" hidden="false" customHeight="false" outlineLevel="0" collapsed="false">
      <c r="A57" s="1" t="n">
        <v>1312</v>
      </c>
      <c r="B57" s="2" t="n">
        <v>2039.83</v>
      </c>
      <c r="C57" s="1" t="n">
        <v>3.7</v>
      </c>
      <c r="D57" s="1" t="n">
        <v>16</v>
      </c>
      <c r="E57" s="4" t="n">
        <f aca="false">D57*C57</f>
        <v>59.2</v>
      </c>
      <c r="F57" s="3" t="n">
        <v>-1.30180904</v>
      </c>
      <c r="G57" s="4" t="n">
        <v>21.9900175675676</v>
      </c>
      <c r="H57" s="1" t="n">
        <f aca="false">B57*2*3.1415/60</f>
        <v>213.604198166667</v>
      </c>
      <c r="I57" s="1" t="n">
        <f aca="false">B57*SIGN(F57)</f>
        <v>-2039.83</v>
      </c>
      <c r="J57" s="1" t="n">
        <f aca="false">H57*H57*SIGN(F57)*S$3*POWER(V$3,4)</f>
        <v>-1522.20777972236</v>
      </c>
      <c r="K57" s="1" t="n">
        <f aca="false">F57*9.81</f>
        <v>-12.7707466824</v>
      </c>
      <c r="L57" s="1" t="n">
        <f aca="false">J57*O$4</f>
        <v>-13.7218253839723</v>
      </c>
      <c r="M57" s="1" t="n">
        <f aca="false">J57*P$4</f>
        <v>-15.2220777972237</v>
      </c>
      <c r="N57" s="1" t="n">
        <f aca="false">IF(J57=0,0,K57/J57)</f>
        <v>0.0083896212150021</v>
      </c>
    </row>
    <row r="58" customFormat="false" ht="13.8" hidden="false" customHeight="false" outlineLevel="0" collapsed="false">
      <c r="A58" s="1" t="n">
        <v>1316</v>
      </c>
      <c r="B58" s="2" t="n">
        <v>2001.27</v>
      </c>
      <c r="C58" s="1" t="n">
        <v>3.58</v>
      </c>
      <c r="D58" s="1" t="n">
        <v>16</v>
      </c>
      <c r="E58" s="4" t="n">
        <f aca="false">D58*C58</f>
        <v>57.28</v>
      </c>
      <c r="F58" s="3" t="n">
        <v>-1.25644984</v>
      </c>
      <c r="G58" s="4" t="n">
        <v>21.9352276536313</v>
      </c>
      <c r="H58" s="1" t="n">
        <f aca="false">B58*2*3.1415/60</f>
        <v>209.5663235</v>
      </c>
      <c r="I58" s="1" t="n">
        <f aca="false">B58*SIGN(F58)</f>
        <v>-2001.27</v>
      </c>
      <c r="J58" s="1" t="n">
        <f aca="false">H58*H58*SIGN(F58)*S$3*POWER(V$3,4)</f>
        <v>-1465.20151167906</v>
      </c>
      <c r="K58" s="1" t="n">
        <f aca="false">F58*9.81</f>
        <v>-12.3257729304</v>
      </c>
      <c r="L58" s="1" t="n">
        <f aca="false">J58*O$4</f>
        <v>-13.2079467490695</v>
      </c>
      <c r="M58" s="1" t="n">
        <f aca="false">J58*P$4</f>
        <v>-14.6520151167906</v>
      </c>
      <c r="N58" s="1" t="n">
        <f aca="false">IF(J58=0,0,K58/J58)</f>
        <v>0.00841233975815055</v>
      </c>
    </row>
    <row r="59" customFormat="false" ht="13.8" hidden="false" customHeight="false" outlineLevel="0" collapsed="false">
      <c r="A59" s="1" t="n">
        <v>1320</v>
      </c>
      <c r="B59" s="2" t="n">
        <v>1968.2</v>
      </c>
      <c r="C59" s="1" t="n">
        <v>3.39</v>
      </c>
      <c r="D59" s="1" t="n">
        <v>16</v>
      </c>
      <c r="E59" s="4" t="n">
        <f aca="false">D59*C59</f>
        <v>54.24</v>
      </c>
      <c r="F59" s="3" t="n">
        <v>-1.2020188</v>
      </c>
      <c r="G59" s="4" t="n">
        <v>22.1611135693215</v>
      </c>
      <c r="H59" s="1" t="n">
        <f aca="false">B59*2*3.1415/60</f>
        <v>206.103343333333</v>
      </c>
      <c r="I59" s="1" t="n">
        <f aca="false">B59*SIGN(F59)</f>
        <v>-1968.2</v>
      </c>
      <c r="J59" s="1" t="n">
        <f aca="false">H59*H59*SIGN(F59)*S$3*POWER(V$3,4)</f>
        <v>-1417.17813353059</v>
      </c>
      <c r="K59" s="1" t="n">
        <f aca="false">F59*9.81</f>
        <v>-11.791804428</v>
      </c>
      <c r="L59" s="1" t="n">
        <f aca="false">J59*O$4</f>
        <v>-12.7750436867675</v>
      </c>
      <c r="M59" s="1" t="n">
        <f aca="false">J59*P$4</f>
        <v>-14.1717813353059</v>
      </c>
      <c r="N59" s="1" t="n">
        <f aca="false">IF(J59=0,0,K59/J59)</f>
        <v>0.00832062261546704</v>
      </c>
    </row>
    <row r="60" customFormat="false" ht="13.8" hidden="false" customHeight="false" outlineLevel="0" collapsed="false">
      <c r="A60" s="1" t="n">
        <v>1324</v>
      </c>
      <c r="B60" s="2" t="n">
        <v>1935.5</v>
      </c>
      <c r="C60" s="1" t="n">
        <v>3.2</v>
      </c>
      <c r="D60" s="1" t="n">
        <v>16</v>
      </c>
      <c r="E60" s="4" t="n">
        <f aca="false">D60*C60</f>
        <v>51.2</v>
      </c>
      <c r="F60" s="3" t="n">
        <v>-1.16119552</v>
      </c>
      <c r="G60" s="4" t="n">
        <v>22.6796</v>
      </c>
      <c r="H60" s="1" t="n">
        <f aca="false">B60*2*3.1415/60</f>
        <v>202.679108333333</v>
      </c>
      <c r="I60" s="1" t="n">
        <f aca="false">B60*SIGN(F60)</f>
        <v>-1935.5</v>
      </c>
      <c r="J60" s="1" t="n">
        <f aca="false">H60*H60*SIGN(F60)*S$3*POWER(V$3,4)</f>
        <v>-1370.47885456636</v>
      </c>
      <c r="K60" s="1" t="n">
        <f aca="false">F60*9.81</f>
        <v>-11.3913280512</v>
      </c>
      <c r="L60" s="1" t="n">
        <f aca="false">J60*O$4</f>
        <v>-12.3540766150965</v>
      </c>
      <c r="M60" s="1" t="n">
        <f aca="false">J60*P$4</f>
        <v>-13.7047885456636</v>
      </c>
      <c r="N60" s="1" t="n">
        <f aca="false">IF(J60=0,0,K60/J60)</f>
        <v>0.00831193273303321</v>
      </c>
    </row>
    <row r="61" customFormat="false" ht="13.8" hidden="false" customHeight="false" outlineLevel="0" collapsed="false">
      <c r="A61" s="1" t="n">
        <v>1328</v>
      </c>
      <c r="B61" s="2" t="n">
        <v>1902.76</v>
      </c>
      <c r="C61" s="1" t="n">
        <v>3</v>
      </c>
      <c r="D61" s="1" t="n">
        <v>16</v>
      </c>
      <c r="E61" s="4" t="n">
        <f aca="false">D61*C61</f>
        <v>48</v>
      </c>
      <c r="F61" s="3" t="n">
        <v>-1.12037224</v>
      </c>
      <c r="G61" s="4" t="n">
        <v>23.3410883333333</v>
      </c>
      <c r="H61" s="1" t="n">
        <f aca="false">B61*2*3.1415/60</f>
        <v>199.250684666667</v>
      </c>
      <c r="I61" s="1" t="n">
        <f aca="false">B61*SIGN(F61)</f>
        <v>-1902.76</v>
      </c>
      <c r="J61" s="1" t="n">
        <f aca="false">H61*H61*SIGN(F61)*S$3*POWER(V$3,4)</f>
        <v>-1324.50625596462</v>
      </c>
      <c r="K61" s="1" t="n">
        <f aca="false">F61*9.81</f>
        <v>-10.9908516744</v>
      </c>
      <c r="L61" s="1" t="n">
        <f aca="false">J61*O$4</f>
        <v>-11.9396601478678</v>
      </c>
      <c r="M61" s="1" t="n">
        <f aca="false">J61*P$4</f>
        <v>-13.2450625596462</v>
      </c>
      <c r="N61" s="1" t="n">
        <f aca="false">IF(J61=0,0,K61/J61)</f>
        <v>0.00829807456545045</v>
      </c>
    </row>
    <row r="62" customFormat="false" ht="13.8" hidden="false" customHeight="false" outlineLevel="0" collapsed="false">
      <c r="A62" s="1" t="n">
        <v>1332</v>
      </c>
      <c r="B62" s="2" t="n">
        <v>1869.56</v>
      </c>
      <c r="C62" s="1" t="n">
        <v>2.84</v>
      </c>
      <c r="D62" s="1" t="n">
        <v>16</v>
      </c>
      <c r="E62" s="4" t="n">
        <f aca="false">D62*C62</f>
        <v>45.44</v>
      </c>
      <c r="F62" s="3" t="n">
        <v>-1.10222856</v>
      </c>
      <c r="G62" s="4" t="n">
        <v>24.2567904929577</v>
      </c>
      <c r="H62" s="1" t="n">
        <f aca="false">B62*2*3.1415/60</f>
        <v>195.774091333333</v>
      </c>
      <c r="I62" s="1" t="n">
        <f aca="false">B62*SIGN(F62)</f>
        <v>-1869.56</v>
      </c>
      <c r="J62" s="1" t="n">
        <f aca="false">H62*H62*SIGN(F62)*S$3*POWER(V$3,4)</f>
        <v>-1278.68862840417</v>
      </c>
      <c r="K62" s="1" t="n">
        <f aca="false">F62*9.81</f>
        <v>-10.8128621736</v>
      </c>
      <c r="L62" s="1" t="n">
        <f aca="false">J62*O$4</f>
        <v>-11.5266406552155</v>
      </c>
      <c r="M62" s="1" t="n">
        <f aca="false">J62*P$4</f>
        <v>-12.7868862840417</v>
      </c>
      <c r="N62" s="1" t="n">
        <f aca="false">IF(J62=0,0,K62/J62)</f>
        <v>0.00845621203896576</v>
      </c>
    </row>
    <row r="63" customFormat="false" ht="13.8" hidden="false" customHeight="false" outlineLevel="0" collapsed="false">
      <c r="A63" s="1" t="n">
        <v>1336</v>
      </c>
      <c r="B63" s="2" t="n">
        <v>1839.98</v>
      </c>
      <c r="C63" s="1" t="n">
        <v>2.7</v>
      </c>
      <c r="D63" s="1" t="n">
        <v>16</v>
      </c>
      <c r="E63" s="4" t="n">
        <f aca="false">D63*C63</f>
        <v>43.2</v>
      </c>
      <c r="F63" s="3" t="n">
        <v>-1.05233344</v>
      </c>
      <c r="G63" s="4" t="n">
        <v>24.3595703703704</v>
      </c>
      <c r="H63" s="1" t="n">
        <f aca="false">B63*2*3.1415/60</f>
        <v>192.676572333333</v>
      </c>
      <c r="I63" s="1" t="n">
        <f aca="false">B63*SIGN(F63)</f>
        <v>-1839.98</v>
      </c>
      <c r="J63" s="1" t="n">
        <f aca="false">H63*H63*SIGN(F63)*S$3*POWER(V$3,4)</f>
        <v>-1238.54614690452</v>
      </c>
      <c r="K63" s="1" t="n">
        <f aca="false">F63*9.81</f>
        <v>-10.3233910464</v>
      </c>
      <c r="L63" s="1" t="n">
        <f aca="false">J63*O$4</f>
        <v>-11.1647793318434</v>
      </c>
      <c r="M63" s="1" t="n">
        <f aca="false">J63*P$4</f>
        <v>-12.3854614690452</v>
      </c>
      <c r="N63" s="1" t="n">
        <f aca="false">IF(J63=0,0,K63/J63)</f>
        <v>0.00833508793531925</v>
      </c>
    </row>
    <row r="64" customFormat="false" ht="13.8" hidden="false" customHeight="false" outlineLevel="0" collapsed="false">
      <c r="A64" s="1" t="n">
        <v>1340</v>
      </c>
      <c r="B64" s="2" t="n">
        <v>1807.39</v>
      </c>
      <c r="C64" s="1" t="n">
        <v>2.4</v>
      </c>
      <c r="D64" s="1" t="n">
        <v>16</v>
      </c>
      <c r="E64" s="4" t="n">
        <f aca="false">D64*C64</f>
        <v>38.4</v>
      </c>
      <c r="F64" s="3" t="n">
        <v>-1.020582</v>
      </c>
      <c r="G64" s="4" t="n">
        <v>26.57765625</v>
      </c>
      <c r="H64" s="1" t="n">
        <f aca="false">B64*2*3.1415/60</f>
        <v>189.263856166667</v>
      </c>
      <c r="I64" s="1" t="n">
        <f aca="false">B64*SIGN(F64)</f>
        <v>-1807.39</v>
      </c>
      <c r="J64" s="1" t="n">
        <f aca="false">H64*H64*SIGN(F64)*S$3*POWER(V$3,4)</f>
        <v>-1195.0600759725</v>
      </c>
      <c r="K64" s="1" t="n">
        <f aca="false">F64*9.81</f>
        <v>-10.01190942</v>
      </c>
      <c r="L64" s="1" t="n">
        <f aca="false">J64*O$4</f>
        <v>-10.7727774777516</v>
      </c>
      <c r="M64" s="1" t="n">
        <f aca="false">J64*P$4</f>
        <v>-11.950600759725</v>
      </c>
      <c r="N64" s="1" t="n">
        <f aca="false">IF(J64=0,0,K64/J64)</f>
        <v>0.00837774570609153</v>
      </c>
    </row>
    <row r="65" customFormat="false" ht="13.8" hidden="false" customHeight="false" outlineLevel="0" collapsed="false">
      <c r="A65" s="1" t="n">
        <v>1344</v>
      </c>
      <c r="B65" s="2" t="n">
        <v>1773.08</v>
      </c>
      <c r="C65" s="1" t="n">
        <v>2.3</v>
      </c>
      <c r="D65" s="1" t="n">
        <v>16</v>
      </c>
      <c r="E65" s="4" t="n">
        <f aca="false">D65*C65</f>
        <v>36.8</v>
      </c>
      <c r="F65" s="3" t="n">
        <v>-0.97975872</v>
      </c>
      <c r="G65" s="4" t="n">
        <v>26.6238782608696</v>
      </c>
      <c r="H65" s="1" t="n">
        <f aca="false">B65*2*3.1415/60</f>
        <v>185.671027333333</v>
      </c>
      <c r="I65" s="1" t="n">
        <f aca="false">B65*SIGN(F65)</f>
        <v>-1773.08</v>
      </c>
      <c r="J65" s="1" t="n">
        <f aca="false">H65*H65*SIGN(F65)*S$3*POWER(V$3,4)</f>
        <v>-1150.11866068161</v>
      </c>
      <c r="K65" s="1" t="n">
        <f aca="false">F65*9.81</f>
        <v>-9.6114330432</v>
      </c>
      <c r="L65" s="1" t="n">
        <f aca="false">J65*O$4</f>
        <v>-10.3676565334593</v>
      </c>
      <c r="M65" s="1" t="n">
        <f aca="false">J65*P$4</f>
        <v>-11.5011866068161</v>
      </c>
      <c r="N65" s="1" t="n">
        <f aca="false">IF(J65=0,0,K65/J65)</f>
        <v>0.00835690557138156</v>
      </c>
    </row>
    <row r="66" customFormat="false" ht="13.8" hidden="false" customHeight="false" outlineLevel="0" collapsed="false">
      <c r="A66" s="1" t="n">
        <v>1348</v>
      </c>
      <c r="B66" s="2" t="n">
        <v>1737.6</v>
      </c>
      <c r="C66" s="1" t="n">
        <v>2.1</v>
      </c>
      <c r="D66" s="1" t="n">
        <v>16</v>
      </c>
      <c r="E66" s="4" t="n">
        <f aca="false">D66*C66</f>
        <v>33.6</v>
      </c>
      <c r="F66" s="3" t="n">
        <v>-0.94347136</v>
      </c>
      <c r="G66" s="4" t="n">
        <v>28.0795047619048</v>
      </c>
      <c r="H66" s="1" t="n">
        <f aca="false">B66*2*3.1415/60</f>
        <v>181.95568</v>
      </c>
      <c r="I66" s="1" t="n">
        <f aca="false">B66*SIGN(F66)</f>
        <v>-1737.6</v>
      </c>
      <c r="J66" s="1" t="n">
        <f aca="false">H66*H66*SIGN(F66)*S$3*POWER(V$3,4)</f>
        <v>-1104.55056871899</v>
      </c>
      <c r="K66" s="1" t="n">
        <f aca="false">F66*9.81</f>
        <v>-9.2554540416</v>
      </c>
      <c r="L66" s="1" t="n">
        <f aca="false">J66*O$4</f>
        <v>-9.95688646033177</v>
      </c>
      <c r="M66" s="1" t="n">
        <f aca="false">J66*P$4</f>
        <v>-11.0455056871899</v>
      </c>
      <c r="N66" s="1" t="n">
        <f aca="false">IF(J66=0,0,K66/J66)</f>
        <v>0.00837938461462572</v>
      </c>
    </row>
    <row r="67" customFormat="false" ht="13.8" hidden="false" customHeight="false" outlineLevel="0" collapsed="false">
      <c r="A67" s="1" t="n">
        <v>1352</v>
      </c>
      <c r="B67" s="2" t="n">
        <v>1704.96</v>
      </c>
      <c r="C67" s="1" t="n">
        <v>2</v>
      </c>
      <c r="D67" s="1" t="n">
        <v>16</v>
      </c>
      <c r="E67" s="4" t="n">
        <f aca="false">D67*C67</f>
        <v>32</v>
      </c>
      <c r="F67" s="3" t="n">
        <v>-0.90264808</v>
      </c>
      <c r="G67" s="4" t="n">
        <v>28.2077525</v>
      </c>
      <c r="H67" s="1" t="n">
        <f aca="false">B67*2*3.1415/60</f>
        <v>178.537728</v>
      </c>
      <c r="I67" s="1" t="n">
        <f aca="false">B67*SIGN(F67)</f>
        <v>-1704.96</v>
      </c>
      <c r="J67" s="1" t="n">
        <f aca="false">H67*H67*SIGN(F67)*S$3*POWER(V$3,4)</f>
        <v>-1063.44339142267</v>
      </c>
      <c r="K67" s="1" t="n">
        <f aca="false">F67*9.81</f>
        <v>-8.8549776648</v>
      </c>
      <c r="L67" s="1" t="n">
        <f aca="false">J67*O$4</f>
        <v>-9.58632896062496</v>
      </c>
      <c r="M67" s="1" t="n">
        <f aca="false">J67*P$4</f>
        <v>-10.6344339142267</v>
      </c>
      <c r="N67" s="1" t="n">
        <f aca="false">IF(J67=0,0,K67/J67)</f>
        <v>0.00832670336401629</v>
      </c>
    </row>
    <row r="68" customFormat="false" ht="13.8" hidden="false" customHeight="false" outlineLevel="0" collapsed="false">
      <c r="A68" s="1" t="n">
        <v>1356</v>
      </c>
      <c r="B68" s="2" t="n">
        <v>1667.06</v>
      </c>
      <c r="C68" s="1" t="n">
        <v>1.9</v>
      </c>
      <c r="D68" s="1" t="n">
        <v>16</v>
      </c>
      <c r="E68" s="4" t="n">
        <f aca="false">D68*C68</f>
        <v>30.4</v>
      </c>
      <c r="F68" s="3" t="n">
        <v>-0.87089664</v>
      </c>
      <c r="G68" s="4" t="n">
        <v>28.6479157894737</v>
      </c>
      <c r="H68" s="1" t="n">
        <f aca="false">B68*2*3.1415/60</f>
        <v>174.568966333333</v>
      </c>
      <c r="I68" s="1" t="n">
        <f aca="false">B68*SIGN(F68)</f>
        <v>-1667.06</v>
      </c>
      <c r="J68" s="1" t="n">
        <f aca="false">H68*H68*SIGN(F68)*S$3*POWER(V$3,4)</f>
        <v>-1016.68976099217</v>
      </c>
      <c r="K68" s="1" t="n">
        <f aca="false">F68*9.81</f>
        <v>-8.5434960384</v>
      </c>
      <c r="L68" s="1" t="n">
        <f aca="false">J68*O$4</f>
        <v>-9.16487194182619</v>
      </c>
      <c r="M68" s="1" t="n">
        <f aca="false">J68*P$4</f>
        <v>-10.1668976099217</v>
      </c>
      <c r="N68" s="1" t="n">
        <f aca="false">IF(J68=0,0,K68/J68)</f>
        <v>0.00840324784038603</v>
      </c>
    </row>
    <row r="69" customFormat="false" ht="13.8" hidden="false" customHeight="false" outlineLevel="0" collapsed="false">
      <c r="A69" s="1" t="n">
        <v>1360</v>
      </c>
      <c r="B69" s="2" t="n">
        <v>1630.35</v>
      </c>
      <c r="C69" s="1" t="n">
        <v>1.7</v>
      </c>
      <c r="D69" s="1" t="n">
        <v>16</v>
      </c>
      <c r="E69" s="4" t="n">
        <f aca="false">D69*C69</f>
        <v>27.2</v>
      </c>
      <c r="F69" s="3" t="n">
        <v>-0.82100152</v>
      </c>
      <c r="G69" s="4" t="n">
        <v>30.1838794117647</v>
      </c>
      <c r="H69" s="1" t="n">
        <f aca="false">B69*2*3.1415/60</f>
        <v>170.7248175</v>
      </c>
      <c r="I69" s="1" t="n">
        <f aca="false">B69*SIGN(F69)</f>
        <v>-1630.35</v>
      </c>
      <c r="J69" s="1" t="n">
        <f aca="false">H69*H69*SIGN(F69)*S$3*POWER(V$3,4)</f>
        <v>-972.406119827385</v>
      </c>
      <c r="K69" s="1" t="n">
        <f aca="false">F69*9.81</f>
        <v>-8.0540249112</v>
      </c>
      <c r="L69" s="1" t="n">
        <f aca="false">J69*O$4</f>
        <v>-8.76568045198868</v>
      </c>
      <c r="M69" s="1" t="n">
        <f aca="false">J69*P$4</f>
        <v>-9.72406119827385</v>
      </c>
      <c r="N69" s="1" t="n">
        <f aca="false">IF(J69=0,0,K69/J69)</f>
        <v>0.008282573244839</v>
      </c>
    </row>
    <row r="70" customFormat="false" ht="13.8" hidden="false" customHeight="false" outlineLevel="0" collapsed="false">
      <c r="A70" s="1" t="n">
        <v>1364</v>
      </c>
      <c r="B70" s="2" t="n">
        <v>1589.17</v>
      </c>
      <c r="C70" s="1" t="n">
        <v>1.6</v>
      </c>
      <c r="D70" s="1" t="n">
        <v>16</v>
      </c>
      <c r="E70" s="4" t="n">
        <f aca="false">D70*C70</f>
        <v>25.6</v>
      </c>
      <c r="F70" s="3" t="n">
        <v>-0.78471416</v>
      </c>
      <c r="G70" s="4" t="n">
        <v>30.652896875</v>
      </c>
      <c r="H70" s="1" t="n">
        <f aca="false">B70*2*3.1415/60</f>
        <v>166.412585166667</v>
      </c>
      <c r="I70" s="1" t="n">
        <f aca="false">B70*SIGN(F70)</f>
        <v>-1589.17</v>
      </c>
      <c r="J70" s="1" t="n">
        <f aca="false">H70*H70*SIGN(F70)*S$3*POWER(V$3,4)</f>
        <v>-923.903694312959</v>
      </c>
      <c r="K70" s="1" t="n">
        <f aca="false">F70*9.81</f>
        <v>-7.6980459096</v>
      </c>
      <c r="L70" s="1" t="n">
        <f aca="false">J70*O$4</f>
        <v>-8.32845905391551</v>
      </c>
      <c r="M70" s="1" t="n">
        <f aca="false">J70*P$4</f>
        <v>-9.23903694312959</v>
      </c>
      <c r="N70" s="1" t="n">
        <f aca="false">IF(J70=0,0,K70/J70)</f>
        <v>0.00833208694475942</v>
      </c>
    </row>
    <row r="71" customFormat="false" ht="13.8" hidden="false" customHeight="false" outlineLevel="0" collapsed="false">
      <c r="A71" s="1" t="n">
        <v>1368</v>
      </c>
      <c r="B71" s="2" t="n">
        <v>1553.88</v>
      </c>
      <c r="C71" s="1" t="n">
        <v>1.5</v>
      </c>
      <c r="D71" s="1" t="n">
        <v>16</v>
      </c>
      <c r="E71" s="4" t="n">
        <f aca="false">D71*C71</f>
        <v>24</v>
      </c>
      <c r="F71" s="3" t="n">
        <v>-0.74389088</v>
      </c>
      <c r="G71" s="4" t="n">
        <v>30.9954533333333</v>
      </c>
      <c r="H71" s="1" t="n">
        <f aca="false">B71*2*3.1415/60</f>
        <v>162.717134</v>
      </c>
      <c r="I71" s="1" t="n">
        <f aca="false">B71*SIGN(F71)</f>
        <v>-1553.88</v>
      </c>
      <c r="J71" s="1" t="n">
        <f aca="false">H71*H71*SIGN(F71)*S$3*POWER(V$3,4)</f>
        <v>-883.32585331748</v>
      </c>
      <c r="K71" s="1" t="n">
        <f aca="false">F71*9.81</f>
        <v>-7.2975695328</v>
      </c>
      <c r="L71" s="1" t="n">
        <f aca="false">J71*O$4</f>
        <v>-7.9626732157298</v>
      </c>
      <c r="M71" s="1" t="n">
        <f aca="false">J71*P$4</f>
        <v>-8.8332585331748</v>
      </c>
      <c r="N71" s="1" t="n">
        <f aca="false">IF(J71=0,0,K71/J71)</f>
        <v>0.00826146942874222</v>
      </c>
    </row>
    <row r="72" customFormat="false" ht="13.8" hidden="false" customHeight="false" outlineLevel="0" collapsed="false">
      <c r="A72" s="1" t="n">
        <v>1372</v>
      </c>
      <c r="B72" s="2" t="n">
        <v>1518.54</v>
      </c>
      <c r="C72" s="1" t="n">
        <v>1.4</v>
      </c>
      <c r="D72" s="1" t="n">
        <v>16</v>
      </c>
      <c r="E72" s="4" t="n">
        <f aca="false">D72*C72</f>
        <v>22.4</v>
      </c>
      <c r="F72" s="3" t="n">
        <v>-0.71667536</v>
      </c>
      <c r="G72" s="4" t="n">
        <v>31.9944357142857</v>
      </c>
      <c r="H72" s="1" t="n">
        <f aca="false">B72*2*3.1415/60</f>
        <v>159.016447</v>
      </c>
      <c r="I72" s="1" t="n">
        <f aca="false">B72*SIGN(F72)</f>
        <v>-1518.54</v>
      </c>
      <c r="J72" s="1" t="n">
        <f aca="false">H72*H72*SIGN(F72)*S$3*POWER(V$3,4)</f>
        <v>-843.603669531953</v>
      </c>
      <c r="K72" s="1" t="n">
        <f aca="false">F72*9.81</f>
        <v>-7.0305852816</v>
      </c>
      <c r="L72" s="1" t="n">
        <f aca="false">J72*O$4</f>
        <v>-7.60460063389444</v>
      </c>
      <c r="M72" s="1" t="n">
        <f aca="false">J72*P$4</f>
        <v>-8.43603669531953</v>
      </c>
      <c r="N72" s="1" t="n">
        <f aca="false">IF(J72=0,0,K72/J72)</f>
        <v>0.00833399087216002</v>
      </c>
    </row>
    <row r="73" customFormat="false" ht="13.8" hidden="false" customHeight="false" outlineLevel="0" collapsed="false">
      <c r="A73" s="1" t="n">
        <v>1376</v>
      </c>
      <c r="B73" s="2" t="n">
        <v>1481.78</v>
      </c>
      <c r="C73" s="1" t="n">
        <v>1.3</v>
      </c>
      <c r="D73" s="1" t="n">
        <v>16</v>
      </c>
      <c r="E73" s="4" t="n">
        <f aca="false">D73*C73</f>
        <v>20.8</v>
      </c>
      <c r="F73" s="3" t="n">
        <v>-0.680388</v>
      </c>
      <c r="G73" s="4" t="n">
        <v>32.7109615384615</v>
      </c>
      <c r="H73" s="1" t="n">
        <f aca="false">B73*2*3.1415/60</f>
        <v>155.167062333333</v>
      </c>
      <c r="I73" s="1" t="n">
        <f aca="false">B73*SIGN(F73)</f>
        <v>-1481.78</v>
      </c>
      <c r="J73" s="1" t="n">
        <f aca="false">H73*H73*SIGN(F73)*S$3*POWER(V$3,4)</f>
        <v>-803.255014052402</v>
      </c>
      <c r="K73" s="1" t="n">
        <f aca="false">F73*9.81</f>
        <v>-6.67460628</v>
      </c>
      <c r="L73" s="1" t="n">
        <f aca="false">J73*O$4</f>
        <v>-7.24088077097964</v>
      </c>
      <c r="M73" s="1" t="n">
        <f aca="false">J73*P$4</f>
        <v>-8.03255014052402</v>
      </c>
      <c r="N73" s="1" t="n">
        <f aca="false">IF(J73=0,0,K73/J73)</f>
        <v>0.00830944863490708</v>
      </c>
    </row>
    <row r="74" customFormat="false" ht="13.8" hidden="false" customHeight="false" outlineLevel="0" collapsed="false">
      <c r="A74" s="1" t="n">
        <v>1380</v>
      </c>
      <c r="B74" s="2" t="n">
        <v>1448.45</v>
      </c>
      <c r="C74" s="1" t="n">
        <v>1.2</v>
      </c>
      <c r="D74" s="1" t="n">
        <v>16</v>
      </c>
      <c r="E74" s="4" t="n">
        <f aca="false">D74*C74</f>
        <v>19.2</v>
      </c>
      <c r="F74" s="3" t="n">
        <v>-0.64863656</v>
      </c>
      <c r="G74" s="4" t="n">
        <v>33.7831541666667</v>
      </c>
      <c r="H74" s="1" t="n">
        <f aca="false">B74*2*3.1415/60</f>
        <v>151.676855833333</v>
      </c>
      <c r="I74" s="1" t="n">
        <f aca="false">B74*SIGN(F74)</f>
        <v>-1448.45</v>
      </c>
      <c r="J74" s="1" t="n">
        <f aca="false">H74*H74*SIGN(F74)*S$3*POWER(V$3,4)</f>
        <v>-767.52583711547</v>
      </c>
      <c r="K74" s="1" t="n">
        <f aca="false">F74*9.81</f>
        <v>-6.3631246536</v>
      </c>
      <c r="L74" s="1" t="n">
        <f aca="false">J74*O$4</f>
        <v>-6.918802843398</v>
      </c>
      <c r="M74" s="1" t="n">
        <f aca="false">J74*P$4</f>
        <v>-7.6752583711547</v>
      </c>
      <c r="N74" s="1" t="n">
        <f aca="false">IF(J74=0,0,K74/J74)</f>
        <v>0.0082904370718177</v>
      </c>
    </row>
    <row r="75" customFormat="false" ht="13.8" hidden="false" customHeight="false" outlineLevel="0" collapsed="false">
      <c r="A75" s="1" t="n">
        <v>1384</v>
      </c>
      <c r="B75" s="2" t="n">
        <v>1409.65</v>
      </c>
      <c r="C75" s="1" t="n">
        <v>1.1</v>
      </c>
      <c r="D75" s="1" t="n">
        <v>16</v>
      </c>
      <c r="E75" s="4" t="n">
        <f aca="false">D75*C75</f>
        <v>17.6</v>
      </c>
      <c r="F75" s="3" t="n">
        <v>-0.61688512</v>
      </c>
      <c r="G75" s="4" t="n">
        <v>35.0502909090909</v>
      </c>
      <c r="H75" s="1" t="n">
        <f aca="false">B75*2*3.1415/60</f>
        <v>147.613849166667</v>
      </c>
      <c r="I75" s="1" t="n">
        <f aca="false">B75*SIGN(F75)</f>
        <v>-1409.65</v>
      </c>
      <c r="J75" s="1" t="n">
        <f aca="false">H75*H75*SIGN(F75)*S$3*POWER(V$3,4)</f>
        <v>-726.95675952933</v>
      </c>
      <c r="K75" s="1" t="n">
        <f aca="false">F75*9.81</f>
        <v>-6.0516430272</v>
      </c>
      <c r="L75" s="1" t="n">
        <f aca="false">J75*O$4</f>
        <v>-6.55309600229424</v>
      </c>
      <c r="M75" s="1" t="n">
        <f aca="false">J75*P$4</f>
        <v>-7.2695675952933</v>
      </c>
      <c r="N75" s="1" t="n">
        <f aca="false">IF(J75=0,0,K75/J75)</f>
        <v>0.00832462584310812</v>
      </c>
    </row>
    <row r="76" customFormat="false" ht="13.8" hidden="false" customHeight="false" outlineLevel="0" collapsed="false">
      <c r="A76" s="1" t="n">
        <v>1388</v>
      </c>
      <c r="B76" s="2" t="n">
        <v>1362.08</v>
      </c>
      <c r="C76" s="1" t="n">
        <v>1</v>
      </c>
      <c r="D76" s="1" t="n">
        <v>16</v>
      </c>
      <c r="E76" s="4" t="n">
        <f aca="false">D76*C76</f>
        <v>16</v>
      </c>
      <c r="F76" s="3" t="n">
        <v>-0.58059776</v>
      </c>
      <c r="G76" s="4" t="n">
        <v>36.28736</v>
      </c>
      <c r="H76" s="1" t="n">
        <f aca="false">B76*2*3.1415/60</f>
        <v>142.632477333333</v>
      </c>
      <c r="I76" s="1" t="n">
        <f aca="false">B76*SIGN(F76)</f>
        <v>-1362.08</v>
      </c>
      <c r="J76" s="1" t="n">
        <f aca="false">H76*H76*SIGN(F76)*S$3*POWER(V$3,4)</f>
        <v>-678.720895565867</v>
      </c>
      <c r="K76" s="1" t="n">
        <f aca="false">F76*9.81</f>
        <v>-5.6956640256</v>
      </c>
      <c r="L76" s="1" t="n">
        <f aca="false">J76*O$4</f>
        <v>-6.11827750289569</v>
      </c>
      <c r="M76" s="1" t="n">
        <f aca="false">J76*P$4</f>
        <v>-6.78720895565867</v>
      </c>
      <c r="N76" s="1" t="n">
        <f aca="false">IF(J76=0,0,K76/J76)</f>
        <v>0.00839176171355588</v>
      </c>
    </row>
    <row r="77" customFormat="false" ht="13.8" hidden="false" customHeight="false" outlineLevel="0" collapsed="false">
      <c r="A77" s="1" t="n">
        <v>1392</v>
      </c>
      <c r="B77" s="2" t="n">
        <v>1324.67</v>
      </c>
      <c r="C77" s="1" t="n">
        <v>0.9</v>
      </c>
      <c r="D77" s="1" t="n">
        <v>16</v>
      </c>
      <c r="E77" s="4" t="n">
        <f aca="false">D77*C77</f>
        <v>14.4</v>
      </c>
      <c r="F77" s="3" t="n">
        <v>-0.53977448</v>
      </c>
      <c r="G77" s="4" t="n">
        <v>37.4843388888889</v>
      </c>
      <c r="H77" s="1" t="n">
        <f aca="false">B77*2*3.1415/60</f>
        <v>138.715026833333</v>
      </c>
      <c r="I77" s="1" t="n">
        <f aca="false">B77*SIGN(F77)</f>
        <v>-1324.67</v>
      </c>
      <c r="J77" s="1" t="n">
        <f aca="false">H77*H77*SIGN(F77)*S$3*POWER(V$3,4)</f>
        <v>-641.950275494728</v>
      </c>
      <c r="K77" s="1" t="n">
        <f aca="false">F77*9.81</f>
        <v>-5.2951876488</v>
      </c>
      <c r="L77" s="1" t="n">
        <f aca="false">J77*O$4</f>
        <v>-5.78681156598621</v>
      </c>
      <c r="M77" s="1" t="n">
        <f aca="false">J77*P$4</f>
        <v>-6.41950275494728</v>
      </c>
      <c r="N77" s="1" t="n">
        <f aca="false">IF(J77=0,0,K77/J77)</f>
        <v>0.00824859471353789</v>
      </c>
    </row>
    <row r="78" customFormat="false" ht="13.8" hidden="false" customHeight="false" outlineLevel="0" collapsed="false">
      <c r="A78" s="1" t="n">
        <v>1396</v>
      </c>
      <c r="B78" s="2" t="n">
        <v>1284.84</v>
      </c>
      <c r="C78" s="1" t="n">
        <v>0.8</v>
      </c>
      <c r="D78" s="1" t="n">
        <v>16</v>
      </c>
      <c r="E78" s="4" t="n">
        <f aca="false">D78*C78</f>
        <v>12.8</v>
      </c>
      <c r="F78" s="3" t="n">
        <v>-0.51255896</v>
      </c>
      <c r="G78" s="4" t="n">
        <v>40.04366875</v>
      </c>
      <c r="H78" s="1" t="n">
        <f aca="false">B78*2*3.1415/60</f>
        <v>134.544162</v>
      </c>
      <c r="I78" s="1" t="n">
        <f aca="false">B78*SIGN(F78)</f>
        <v>-1284.84</v>
      </c>
      <c r="J78" s="1" t="n">
        <f aca="false">H78*H78*SIGN(F78)*S$3*POWER(V$3,4)</f>
        <v>-603.926498021701</v>
      </c>
      <c r="K78" s="1" t="n">
        <f aca="false">F78*9.81</f>
        <v>-5.0282033976</v>
      </c>
      <c r="L78" s="1" t="n">
        <f aca="false">J78*O$4</f>
        <v>-5.44404913770651</v>
      </c>
      <c r="M78" s="1" t="n">
        <f aca="false">J78*P$4</f>
        <v>-6.03926498021701</v>
      </c>
      <c r="N78" s="1" t="n">
        <f aca="false">IF(J78=0,0,K78/J78)</f>
        <v>0.00832585325212758</v>
      </c>
    </row>
    <row r="79" customFormat="false" ht="13.8" hidden="false" customHeight="false" outlineLevel="0" collapsed="false">
      <c r="A79" s="1" t="n">
        <v>1400</v>
      </c>
      <c r="B79" s="2" t="n">
        <v>1246.14</v>
      </c>
      <c r="C79" s="1" t="n">
        <v>0.7</v>
      </c>
      <c r="D79" s="1" t="n">
        <v>16</v>
      </c>
      <c r="E79" s="4" t="n">
        <f aca="false">D79*C79</f>
        <v>11.2</v>
      </c>
      <c r="F79" s="3" t="n">
        <v>-0.48080752</v>
      </c>
      <c r="G79" s="4" t="n">
        <v>42.9292428571429</v>
      </c>
      <c r="H79" s="1" t="n">
        <f aca="false">B79*2*3.1415/60</f>
        <v>130.491627</v>
      </c>
      <c r="I79" s="1" t="n">
        <f aca="false">B79*SIGN(F79)</f>
        <v>-1246.14</v>
      </c>
      <c r="J79" s="1" t="n">
        <f aca="false">H79*H79*SIGN(F79)*S$3*POWER(V$3,4)</f>
        <v>-568.093292031518</v>
      </c>
      <c r="K79" s="1" t="n">
        <f aca="false">F79*9.81</f>
        <v>-4.7167217712</v>
      </c>
      <c r="L79" s="1" t="n">
        <f aca="false">J79*O$4</f>
        <v>-5.12103344819606</v>
      </c>
      <c r="M79" s="1" t="n">
        <f aca="false">J79*P$4</f>
        <v>-5.68093292031518</v>
      </c>
      <c r="N79" s="1" t="n">
        <f aca="false">IF(J79=0,0,K79/J79)</f>
        <v>0.00830272393172055</v>
      </c>
    </row>
    <row r="80" customFormat="false" ht="13.8" hidden="false" customHeight="false" outlineLevel="0" collapsed="false">
      <c r="A80" s="1" t="n">
        <v>1404</v>
      </c>
      <c r="B80" s="2" t="n">
        <v>1199.38</v>
      </c>
      <c r="C80" s="1" t="n">
        <v>0.66</v>
      </c>
      <c r="D80" s="1" t="n">
        <v>16</v>
      </c>
      <c r="E80" s="4" t="n">
        <f aca="false">D80*C80</f>
        <v>10.56</v>
      </c>
      <c r="F80" s="3" t="n">
        <v>-0.44452016</v>
      </c>
      <c r="G80" s="4" t="n">
        <v>42.0947121212121</v>
      </c>
      <c r="H80" s="1" t="n">
        <f aca="false">B80*2*3.1415/60</f>
        <v>125.595075666667</v>
      </c>
      <c r="I80" s="1" t="n">
        <f aca="false">B80*SIGN(F80)</f>
        <v>-1199.38</v>
      </c>
      <c r="J80" s="1" t="n">
        <f aca="false">H80*H80*SIGN(F80)*S$3*POWER(V$3,4)</f>
        <v>-526.259068829754</v>
      </c>
      <c r="K80" s="1" t="n">
        <f aca="false">F80*9.81</f>
        <v>-4.3607427696</v>
      </c>
      <c r="L80" s="1" t="n">
        <f aca="false">J80*O$4</f>
        <v>-4.74392204888798</v>
      </c>
      <c r="M80" s="1" t="n">
        <f aca="false">J80*P$4</f>
        <v>-5.26259068829754</v>
      </c>
      <c r="N80" s="1" t="n">
        <f aca="false">IF(J80=0,0,K80/J80)</f>
        <v>0.00828630427081668</v>
      </c>
    </row>
    <row r="81" customFormat="false" ht="13.8" hidden="false" customHeight="false" outlineLevel="0" collapsed="false">
      <c r="A81" s="1" t="n">
        <v>1408</v>
      </c>
      <c r="B81" s="2" t="n">
        <v>1152.94</v>
      </c>
      <c r="C81" s="1" t="n">
        <v>0.56</v>
      </c>
      <c r="D81" s="1" t="n">
        <v>16</v>
      </c>
      <c r="E81" s="4" t="n">
        <f aca="false">D81*C81</f>
        <v>8.96</v>
      </c>
      <c r="F81" s="3" t="n">
        <v>-0.41730464</v>
      </c>
      <c r="G81" s="4" t="n">
        <v>46.5741785714286</v>
      </c>
      <c r="H81" s="1" t="n">
        <f aca="false">B81*2*3.1415/60</f>
        <v>120.732033666667</v>
      </c>
      <c r="I81" s="1" t="n">
        <f aca="false">B81*SIGN(F81)</f>
        <v>-1152.94</v>
      </c>
      <c r="J81" s="1" t="n">
        <f aca="false">H81*H81*SIGN(F81)*S$3*POWER(V$3,4)</f>
        <v>-486.294548945048</v>
      </c>
      <c r="K81" s="1" t="n">
        <f aca="false">F81*9.81</f>
        <v>-4.0937585184</v>
      </c>
      <c r="L81" s="1" t="n">
        <f aca="false">J81*O$4</f>
        <v>-4.38366494685672</v>
      </c>
      <c r="M81" s="1" t="n">
        <f aca="false">J81*P$4</f>
        <v>-4.86294548945048</v>
      </c>
      <c r="N81" s="1" t="n">
        <f aca="false">IF(J81=0,0,K81/J81)</f>
        <v>0.00841826939512456</v>
      </c>
    </row>
    <row r="82" customFormat="false" ht="13.8" hidden="false" customHeight="false" outlineLevel="0" collapsed="false">
      <c r="A82" s="1" t="n">
        <v>1412</v>
      </c>
      <c r="B82" s="2" t="n">
        <v>1112.71</v>
      </c>
      <c r="C82" s="1" t="n">
        <v>0.5</v>
      </c>
      <c r="D82" s="1" t="n">
        <v>16</v>
      </c>
      <c r="E82" s="4" t="n">
        <f aca="false">D82*C82</f>
        <v>8</v>
      </c>
      <c r="F82" s="3" t="n">
        <v>-0.3855532</v>
      </c>
      <c r="G82" s="4" t="n">
        <v>48.19415</v>
      </c>
      <c r="H82" s="1" t="n">
        <f aca="false">B82*2*3.1415/60</f>
        <v>116.519282166667</v>
      </c>
      <c r="I82" s="1" t="n">
        <f aca="false">B82*SIGN(F82)</f>
        <v>-1112.71</v>
      </c>
      <c r="J82" s="1" t="n">
        <f aca="false">H82*H82*SIGN(F82)*S$3*POWER(V$3,4)</f>
        <v>-452.949693363975</v>
      </c>
      <c r="K82" s="1" t="n">
        <f aca="false">F82*9.81</f>
        <v>-3.782276892</v>
      </c>
      <c r="L82" s="1" t="n">
        <f aca="false">J82*O$4</f>
        <v>-4.08308030142762</v>
      </c>
      <c r="M82" s="1" t="n">
        <f aca="false">J82*P$4</f>
        <v>-4.52949693363975</v>
      </c>
      <c r="N82" s="1" t="n">
        <f aca="false">IF(J82=0,0,K82/J82)</f>
        <v>0.00835032443428699</v>
      </c>
    </row>
    <row r="83" customFormat="false" ht="13.8" hidden="false" customHeight="false" outlineLevel="0" collapsed="false">
      <c r="A83" s="1" t="n">
        <v>1416</v>
      </c>
      <c r="B83" s="2" t="n">
        <v>1064.11</v>
      </c>
      <c r="C83" s="1" t="n">
        <v>0.4</v>
      </c>
      <c r="D83" s="1" t="n">
        <v>16</v>
      </c>
      <c r="E83" s="4" t="n">
        <f aca="false">D83*C83</f>
        <v>6.4</v>
      </c>
      <c r="F83" s="3" t="n">
        <v>-0.35380176</v>
      </c>
      <c r="G83" s="4" t="n">
        <v>55.281525</v>
      </c>
      <c r="H83" s="1" t="n">
        <f aca="false">B83*2*3.1415/60</f>
        <v>111.430052166667</v>
      </c>
      <c r="I83" s="1" t="n">
        <f aca="false">B83*SIGN(F83)</f>
        <v>-1064.11</v>
      </c>
      <c r="J83" s="1" t="n">
        <f aca="false">H83*H83*SIGN(F83)*S$3*POWER(V$3,4)</f>
        <v>-414.246680347492</v>
      </c>
      <c r="K83" s="1" t="n">
        <f aca="false">F83*9.81</f>
        <v>-3.4707952656</v>
      </c>
      <c r="L83" s="1" t="n">
        <f aca="false">J83*O$4</f>
        <v>-3.73419495639105</v>
      </c>
      <c r="M83" s="1" t="n">
        <f aca="false">J83*P$4</f>
        <v>-4.14246680347492</v>
      </c>
      <c r="N83" s="1" t="n">
        <f aca="false">IF(J83=0,0,K83/J83)</f>
        <v>0.00837857110330617</v>
      </c>
    </row>
    <row r="84" customFormat="false" ht="13.8" hidden="false" customHeight="false" outlineLevel="0" collapsed="false">
      <c r="A84" s="1" t="n">
        <v>1420</v>
      </c>
      <c r="B84" s="2" t="n">
        <v>1016.48</v>
      </c>
      <c r="C84" s="1" t="n">
        <v>0.4</v>
      </c>
      <c r="D84" s="1" t="n">
        <v>16</v>
      </c>
      <c r="E84" s="4" t="n">
        <f aca="false">D84*C84</f>
        <v>6.4</v>
      </c>
      <c r="F84" s="3" t="n">
        <v>-0.32205032</v>
      </c>
      <c r="G84" s="4" t="n">
        <v>50.3203625</v>
      </c>
      <c r="H84" s="1" t="n">
        <f aca="false">B84*2*3.1415/60</f>
        <v>106.442397333333</v>
      </c>
      <c r="I84" s="1" t="n">
        <f aca="false">B84*SIGN(F84)</f>
        <v>-1016.48</v>
      </c>
      <c r="J84" s="1" t="n">
        <f aca="false">H84*H84*SIGN(F84)*S$3*POWER(V$3,4)</f>
        <v>-377.992918619317</v>
      </c>
      <c r="K84" s="1" t="n">
        <f aca="false">F84*9.81</f>
        <v>-3.1593136392</v>
      </c>
      <c r="L84" s="1" t="n">
        <f aca="false">J84*O$4</f>
        <v>-3.40738819940753</v>
      </c>
      <c r="M84" s="1" t="n">
        <f aca="false">J84*P$4</f>
        <v>-3.77992918619317</v>
      </c>
      <c r="N84" s="1" t="n">
        <f aca="false">IF(J84=0,0,K84/J84)</f>
        <v>0.00835812917009113</v>
      </c>
    </row>
    <row r="85" customFormat="false" ht="13.8" hidden="false" customHeight="false" outlineLevel="0" collapsed="false">
      <c r="A85" s="1" t="n">
        <v>1424</v>
      </c>
      <c r="B85" s="2" t="n">
        <v>969.68</v>
      </c>
      <c r="C85" s="1" t="n">
        <v>0.37</v>
      </c>
      <c r="D85" s="1" t="n">
        <v>16</v>
      </c>
      <c r="E85" s="4" t="n">
        <f aca="false">D85*C85</f>
        <v>5.92</v>
      </c>
      <c r="F85" s="3" t="n">
        <v>-0.2948348</v>
      </c>
      <c r="G85" s="4" t="n">
        <v>49.8031756756757</v>
      </c>
      <c r="H85" s="1" t="n">
        <f aca="false">B85*2*3.1415/60</f>
        <v>101.541657333333</v>
      </c>
      <c r="I85" s="1" t="n">
        <f aca="false">B85*SIGN(F85)</f>
        <v>-969.68</v>
      </c>
      <c r="J85" s="1" t="n">
        <f aca="false">H85*H85*SIGN(F85)*S$3*POWER(V$3,4)</f>
        <v>-343.98766078563</v>
      </c>
      <c r="K85" s="1" t="n">
        <f aca="false">F85*9.81</f>
        <v>-2.892329388</v>
      </c>
      <c r="L85" s="1" t="n">
        <f aca="false">J85*O$4</f>
        <v>-3.10085040847867</v>
      </c>
      <c r="M85" s="1" t="n">
        <f aca="false">J85*P$4</f>
        <v>-3.4398766078563</v>
      </c>
      <c r="N85" s="1" t="n">
        <f aca="false">IF(J85=0,0,K85/J85)</f>
        <v>0.00840823586925834</v>
      </c>
    </row>
    <row r="86" customFormat="false" ht="13.8" hidden="false" customHeight="false" outlineLevel="0" collapsed="false">
      <c r="A86" s="1" t="n">
        <v>1428</v>
      </c>
      <c r="B86" s="2" t="n">
        <v>916.03</v>
      </c>
      <c r="C86" s="1" t="n">
        <v>0.3</v>
      </c>
      <c r="D86" s="1" t="n">
        <v>16</v>
      </c>
      <c r="E86" s="4" t="n">
        <f aca="false">D86*C86</f>
        <v>4.8</v>
      </c>
      <c r="F86" s="3" t="n">
        <v>-0.25854744</v>
      </c>
      <c r="G86" s="4" t="n">
        <v>53.86405</v>
      </c>
      <c r="H86" s="1" t="n">
        <f aca="false">B86*2*3.1415/60</f>
        <v>95.9236081666667</v>
      </c>
      <c r="I86" s="1" t="n">
        <f aca="false">B86*SIGN(F86)</f>
        <v>-916.03</v>
      </c>
      <c r="J86" s="1" t="n">
        <f aca="false">H86*H86*SIGN(F86)*S$3*POWER(V$3,4)</f>
        <v>-306.976677932641</v>
      </c>
      <c r="K86" s="1" t="n">
        <f aca="false">F86*9.81</f>
        <v>-2.5363503864</v>
      </c>
      <c r="L86" s="1" t="n">
        <f aca="false">J86*O$4</f>
        <v>-2.76721773969115</v>
      </c>
      <c r="M86" s="1" t="n">
        <f aca="false">J86*P$4</f>
        <v>-3.06976677932641</v>
      </c>
      <c r="N86" s="1" t="n">
        <f aca="false">IF(J86=0,0,K86/J86)</f>
        <v>0.00826235531468142</v>
      </c>
    </row>
    <row r="87" customFormat="false" ht="13.8" hidden="false" customHeight="false" outlineLevel="0" collapsed="false">
      <c r="A87" s="1" t="n">
        <v>1432</v>
      </c>
      <c r="B87" s="2" t="n">
        <v>868.6</v>
      </c>
      <c r="C87" s="1" t="n">
        <v>0.2</v>
      </c>
      <c r="D87" s="1" t="n">
        <v>16</v>
      </c>
      <c r="E87" s="4" t="n">
        <f aca="false">D87*C87</f>
        <v>3.2</v>
      </c>
      <c r="F87" s="3" t="n">
        <v>-0.23586784</v>
      </c>
      <c r="G87" s="4" t="n">
        <v>73.7087</v>
      </c>
      <c r="H87" s="1" t="n">
        <f aca="false">B87*2*3.1415/60</f>
        <v>90.9568966666667</v>
      </c>
      <c r="I87" s="1" t="n">
        <f aca="false">B87*SIGN(F87)</f>
        <v>-868.6</v>
      </c>
      <c r="J87" s="1" t="n">
        <f aca="false">H87*H87*SIGN(F87)*S$3*POWER(V$3,4)</f>
        <v>-276.010521618799</v>
      </c>
      <c r="K87" s="1" t="n">
        <f aca="false">F87*9.81</f>
        <v>-2.3138635104</v>
      </c>
      <c r="L87" s="1" t="n">
        <f aca="false">J87*O$4</f>
        <v>-2.48807569652748</v>
      </c>
      <c r="M87" s="1" t="n">
        <f aca="false">J87*P$4</f>
        <v>-2.76010521618799</v>
      </c>
      <c r="N87" s="1" t="n">
        <f aca="false">IF(J87=0,0,K87/J87)</f>
        <v>0.0083832438590718</v>
      </c>
    </row>
    <row r="88" customFormat="false" ht="13.8" hidden="false" customHeight="false" outlineLevel="0" collapsed="false">
      <c r="A88" s="1" t="n">
        <v>1436</v>
      </c>
      <c r="B88" s="2" t="n">
        <v>809.94</v>
      </c>
      <c r="C88" s="1" t="n">
        <v>0.2</v>
      </c>
      <c r="D88" s="1" t="n">
        <v>16</v>
      </c>
      <c r="E88" s="4" t="n">
        <f aca="false">D88*C88</f>
        <v>3.2</v>
      </c>
      <c r="F88" s="3" t="n">
        <v>-0.20865232</v>
      </c>
      <c r="G88" s="4" t="n">
        <v>65.20385</v>
      </c>
      <c r="H88" s="1" t="n">
        <f aca="false">B88*2*3.1415/60</f>
        <v>84.814217</v>
      </c>
      <c r="I88" s="1" t="n">
        <f aca="false">B88*SIGN(F88)</f>
        <v>-809.94</v>
      </c>
      <c r="J88" s="1" t="n">
        <f aca="false">H88*H88*SIGN(F88)*S$3*POWER(V$3,4)</f>
        <v>-239.989191831836</v>
      </c>
      <c r="K88" s="1" t="n">
        <f aca="false">F88*9.81</f>
        <v>-2.0468792592</v>
      </c>
      <c r="L88" s="1" t="n">
        <f aca="false">J88*O$4</f>
        <v>-2.16336417946682</v>
      </c>
      <c r="M88" s="1" t="n">
        <f aca="false">J88*P$4</f>
        <v>-2.39989191831836</v>
      </c>
      <c r="N88" s="1" t="n">
        <f aca="false">IF(J88=0,0,K88/J88)</f>
        <v>0.00852904767742323</v>
      </c>
    </row>
    <row r="89" customFormat="false" ht="13.8" hidden="false" customHeight="false" outlineLevel="0" collapsed="false">
      <c r="A89" s="1" t="n">
        <v>1440</v>
      </c>
      <c r="B89" s="2" t="n">
        <v>758.15</v>
      </c>
      <c r="C89" s="1" t="n">
        <v>0.2</v>
      </c>
      <c r="D89" s="1" t="n">
        <v>16</v>
      </c>
      <c r="E89" s="4" t="n">
        <f aca="false">D89*C89</f>
        <v>3.2</v>
      </c>
      <c r="F89" s="3" t="n">
        <v>-0.1814368</v>
      </c>
      <c r="G89" s="4" t="n">
        <v>56.699</v>
      </c>
      <c r="H89" s="1" t="n">
        <f aca="false">B89*2*3.1415/60</f>
        <v>79.3909408333334</v>
      </c>
      <c r="I89" s="1" t="n">
        <f aca="false">B89*SIGN(F89)</f>
        <v>-758.15</v>
      </c>
      <c r="J89" s="1" t="n">
        <f aca="false">H89*H89*SIGN(F89)*S$3*POWER(V$3,4)</f>
        <v>-210.27917594352</v>
      </c>
      <c r="K89" s="1" t="n">
        <f aca="false">F89*9.81</f>
        <v>-1.779895008</v>
      </c>
      <c r="L89" s="1" t="n">
        <f aca="false">J89*O$4</f>
        <v>-1.89554551791138</v>
      </c>
      <c r="M89" s="1" t="n">
        <f aca="false">J89*P$4</f>
        <v>-2.1027917594352</v>
      </c>
      <c r="N89" s="1" t="n">
        <f aca="false">IF(J89=0,0,K89/J89)</f>
        <v>0.00846443781232087</v>
      </c>
    </row>
    <row r="90" customFormat="false" ht="13.8" hidden="false" customHeight="false" outlineLevel="0" collapsed="false">
      <c r="A90" s="1" t="n">
        <v>1444</v>
      </c>
      <c r="B90" s="2" t="n">
        <v>697.28</v>
      </c>
      <c r="C90" s="1" t="n">
        <v>0.1</v>
      </c>
      <c r="D90" s="1" t="n">
        <v>16</v>
      </c>
      <c r="E90" s="4" t="n">
        <f aca="false">D90*C90</f>
        <v>1.6</v>
      </c>
      <c r="F90" s="3" t="n">
        <v>-0.14968536</v>
      </c>
      <c r="G90" s="4" t="n">
        <v>93.55335</v>
      </c>
      <c r="H90" s="1" t="n">
        <f aca="false">B90*2*3.1415/60</f>
        <v>73.0168373333333</v>
      </c>
      <c r="I90" s="1" t="n">
        <f aca="false">B90*SIGN(F90)</f>
        <v>-697.28</v>
      </c>
      <c r="J90" s="1" t="n">
        <f aca="false">H90*H90*SIGN(F90)*S$3*POWER(V$3,4)</f>
        <v>-177.86905795343</v>
      </c>
      <c r="K90" s="1" t="n">
        <f aca="false">F90*9.81</f>
        <v>-1.4684133816</v>
      </c>
      <c r="L90" s="1" t="n">
        <f aca="false">J90*O$4</f>
        <v>-1.60338699286754</v>
      </c>
      <c r="M90" s="1" t="n">
        <f aca="false">J90*P$4</f>
        <v>-1.7786905795343</v>
      </c>
      <c r="N90" s="1" t="n">
        <f aca="false">IF(J90=0,0,K90/J90)</f>
        <v>0.00825558643248936</v>
      </c>
    </row>
    <row r="91" customFormat="false" ht="13.8" hidden="false" customHeight="false" outlineLevel="0" collapsed="false">
      <c r="A91" s="1" t="n">
        <v>1448</v>
      </c>
      <c r="B91" s="2" t="n">
        <v>641.26</v>
      </c>
      <c r="C91" s="1" t="n">
        <v>0.1</v>
      </c>
      <c r="D91" s="1" t="n">
        <v>16</v>
      </c>
      <c r="E91" s="4" t="n">
        <f aca="false">D91*C91</f>
        <v>1.6</v>
      </c>
      <c r="F91" s="3" t="n">
        <v>-0.12700576</v>
      </c>
      <c r="G91" s="4" t="n">
        <v>79.3786</v>
      </c>
      <c r="H91" s="1" t="n">
        <f aca="false">B91*2*3.1415/60</f>
        <v>67.1506096666667</v>
      </c>
      <c r="I91" s="1" t="n">
        <f aca="false">B91*SIGN(F91)</f>
        <v>-641.26</v>
      </c>
      <c r="J91" s="1" t="n">
        <f aca="false">H91*H91*SIGN(F91)*S$3*POWER(V$3,4)</f>
        <v>-150.436870098992</v>
      </c>
      <c r="K91" s="1" t="n">
        <f aca="false">F91*9.81</f>
        <v>-1.2459265056</v>
      </c>
      <c r="L91" s="1" t="n">
        <f aca="false">J91*O$4</f>
        <v>-1.3561016375742</v>
      </c>
      <c r="M91" s="1" t="n">
        <f aca="false">J91*P$4</f>
        <v>-1.50436870098992</v>
      </c>
      <c r="N91" s="1" t="n">
        <f aca="false">IF(J91=0,0,K91/J91)</f>
        <v>0.00828205548799404</v>
      </c>
    </row>
    <row r="92" customFormat="false" ht="13.8" hidden="false" customHeight="false" outlineLevel="0" collapsed="false">
      <c r="A92" s="1" t="n">
        <v>1452</v>
      </c>
      <c r="B92" s="2" t="n">
        <v>577.81</v>
      </c>
      <c r="C92" s="1" t="n">
        <v>0.1</v>
      </c>
      <c r="D92" s="1" t="n">
        <v>16</v>
      </c>
      <c r="E92" s="4" t="n">
        <f aca="false">D92*C92</f>
        <v>1.6</v>
      </c>
      <c r="F92" s="3" t="n">
        <v>-0.10432616</v>
      </c>
      <c r="G92" s="4" t="n">
        <v>65.20385</v>
      </c>
      <c r="H92" s="1" t="n">
        <f aca="false">B92*2*3.1415/60</f>
        <v>60.5063371666667</v>
      </c>
      <c r="I92" s="1" t="n">
        <f aca="false">B92*SIGN(F92)</f>
        <v>-577.81</v>
      </c>
      <c r="J92" s="1" t="n">
        <f aca="false">H92*H92*SIGN(F92)*S$3*POWER(V$3,4)</f>
        <v>-122.139488065845</v>
      </c>
      <c r="K92" s="1" t="n">
        <f aca="false">F92*9.81</f>
        <v>-1.0234396296</v>
      </c>
      <c r="L92" s="1" t="n">
        <f aca="false">J92*O$4</f>
        <v>-1.10101705565647</v>
      </c>
      <c r="M92" s="1" t="n">
        <f aca="false">J92*P$4</f>
        <v>-1.22139488065845</v>
      </c>
      <c r="N92" s="1" t="n">
        <f aca="false">IF(J92=0,0,K92/J92)</f>
        <v>0.00837926902926159</v>
      </c>
    </row>
    <row r="93" customFormat="false" ht="13.8" hidden="false" customHeight="false" outlineLevel="0" collapsed="false">
      <c r="A93" s="1" t="n">
        <v>1456</v>
      </c>
      <c r="B93" s="2" t="n">
        <v>513.25</v>
      </c>
      <c r="C93" s="1" t="n">
        <v>0.05</v>
      </c>
      <c r="D93" s="1" t="n">
        <v>16</v>
      </c>
      <c r="E93" s="4" t="n">
        <f aca="false">D93*C93</f>
        <v>0.8</v>
      </c>
      <c r="F93" s="3" t="n">
        <v>-0.08618248</v>
      </c>
      <c r="G93" s="4" t="n">
        <v>107.7281</v>
      </c>
      <c r="H93" s="1" t="n">
        <f aca="false">B93*2*3.1415/60</f>
        <v>53.7458291666667</v>
      </c>
      <c r="I93" s="1" t="n">
        <f aca="false">B93*SIGN(F93)</f>
        <v>-513.25</v>
      </c>
      <c r="J93" s="1" t="n">
        <f aca="false">H93*H93*SIGN(F93)*S$3*POWER(V$3,4)</f>
        <v>-96.3704537622221</v>
      </c>
      <c r="K93" s="1" t="n">
        <f aca="false">F93*9.81</f>
        <v>-0.8454501288</v>
      </c>
      <c r="L93" s="1" t="n">
        <f aca="false">J93*O$4</f>
        <v>-0.868724070599992</v>
      </c>
      <c r="M93" s="1" t="n">
        <f aca="false">J93*P$4</f>
        <v>-0.963704537622221</v>
      </c>
      <c r="N93" s="1" t="n">
        <f aca="false">IF(J93=0,0,K93/J93)</f>
        <v>0.0087729184183983</v>
      </c>
    </row>
    <row r="94" customFormat="false" ht="13.8" hidden="false" customHeight="false" outlineLevel="0" collapsed="false">
      <c r="A94" s="1" t="n">
        <v>1460</v>
      </c>
      <c r="B94" s="2" t="n">
        <v>449.5</v>
      </c>
      <c r="C94" s="1" t="n">
        <v>0.05</v>
      </c>
      <c r="D94" s="1" t="n">
        <v>16</v>
      </c>
      <c r="E94" s="4" t="n">
        <f aca="false">D94*C94</f>
        <v>0.8</v>
      </c>
      <c r="F94" s="3" t="n">
        <v>-0.0680388</v>
      </c>
      <c r="G94" s="4" t="n">
        <v>85.0485</v>
      </c>
      <c r="H94" s="1" t="n">
        <f aca="false">B94*2*3.1415/60</f>
        <v>47.0701416666667</v>
      </c>
      <c r="I94" s="1" t="n">
        <f aca="false">B94*SIGN(F94)</f>
        <v>-449.5</v>
      </c>
      <c r="J94" s="1" t="n">
        <f aca="false">H94*H94*SIGN(F94)*S$3*POWER(V$3,4)</f>
        <v>-73.9171783120722</v>
      </c>
      <c r="K94" s="1" t="n">
        <f aca="false">F94*9.81</f>
        <v>-0.667460628</v>
      </c>
      <c r="L94" s="1" t="n">
        <f aca="false">J94*O$4</f>
        <v>-0.666320739642517</v>
      </c>
      <c r="M94" s="1" t="n">
        <f aca="false">J94*P$4</f>
        <v>-0.739171783120722</v>
      </c>
      <c r="N94" s="1" t="n">
        <f aca="false">IF(J94=0,0,K94/J94)</f>
        <v>0.00902984452655967</v>
      </c>
    </row>
    <row r="95" customFormat="false" ht="13.8" hidden="false" customHeight="false" outlineLevel="0" collapsed="false">
      <c r="A95" s="1" t="n">
        <v>1464</v>
      </c>
      <c r="B95" s="2" t="n">
        <v>388.48</v>
      </c>
      <c r="C95" s="1" t="n">
        <v>0.05</v>
      </c>
      <c r="D95" s="1" t="n">
        <v>16</v>
      </c>
      <c r="E95" s="4" t="n">
        <f aca="false">D95*C95</f>
        <v>0.8</v>
      </c>
      <c r="F95" s="3" t="n">
        <v>-0.04989512</v>
      </c>
      <c r="G95" s="4" t="n">
        <v>62.3689</v>
      </c>
      <c r="H95" s="1" t="n">
        <f aca="false">B95*2*3.1415/60</f>
        <v>40.6803306666667</v>
      </c>
      <c r="I95" s="1" t="n">
        <f aca="false">B95*SIGN(F95)</f>
        <v>-388.48</v>
      </c>
      <c r="J95" s="1" t="n">
        <f aca="false">H95*H95*SIGN(F95)*S$3*POWER(V$3,4)</f>
        <v>-55.2107081921857</v>
      </c>
      <c r="K95" s="1" t="n">
        <f aca="false">F95*9.81</f>
        <v>-0.4894711272</v>
      </c>
      <c r="L95" s="1" t="n">
        <f aca="false">J95*O$4</f>
        <v>-0.497692698218109</v>
      </c>
      <c r="M95" s="1" t="n">
        <f aca="false">J95*P$4</f>
        <v>-0.552107081921857</v>
      </c>
      <c r="N95" s="1" t="n">
        <f aca="false">IF(J95=0,0,K95/J95)</f>
        <v>0.00886551075375045</v>
      </c>
    </row>
    <row r="96" customFormat="false" ht="13.8" hidden="false" customHeight="false" outlineLevel="0" collapsed="false">
      <c r="A96" s="1" t="n">
        <v>1468</v>
      </c>
      <c r="B96" s="2" t="n">
        <v>317.17</v>
      </c>
      <c r="C96" s="1" t="n">
        <v>0.05</v>
      </c>
      <c r="D96" s="1" t="n">
        <v>16</v>
      </c>
      <c r="E96" s="4" t="n">
        <f aca="false">D96*C96</f>
        <v>0.8</v>
      </c>
      <c r="F96" s="3" t="n">
        <v>-0.03628736</v>
      </c>
      <c r="G96" s="4" t="n">
        <v>45.3592</v>
      </c>
      <c r="H96" s="1" t="n">
        <f aca="false">B96*2*3.1415/60</f>
        <v>33.2129851666667</v>
      </c>
      <c r="I96" s="1" t="n">
        <f aca="false">B96*SIGN(F96)</f>
        <v>-317.17</v>
      </c>
      <c r="J96" s="1" t="n">
        <f aca="false">H96*H96*SIGN(F96)*S$3*POWER(V$3,4)</f>
        <v>-36.8018958703924</v>
      </c>
      <c r="K96" s="1" t="n">
        <f aca="false">F96*9.81</f>
        <v>-0.3559790016</v>
      </c>
      <c r="L96" s="1" t="n">
        <f aca="false">J96*O$4</f>
        <v>-0.331747870205184</v>
      </c>
      <c r="M96" s="1" t="n">
        <f aca="false">J96*P$4</f>
        <v>-0.368018958703924</v>
      </c>
      <c r="N96" s="1" t="n">
        <f aca="false">IF(J96=0,0,K96/J96)</f>
        <v>0.00967284410709911</v>
      </c>
    </row>
    <row r="97" customFormat="false" ht="13.8" hidden="false" customHeight="false" outlineLevel="0" collapsed="false">
      <c r="A97" s="1" t="n">
        <v>1472</v>
      </c>
      <c r="B97" s="2" t="n">
        <v>0</v>
      </c>
      <c r="C97" s="1" t="n">
        <v>0</v>
      </c>
      <c r="D97" s="1" t="n">
        <v>16</v>
      </c>
      <c r="E97" s="4" t="n">
        <f aca="false">D97*C97</f>
        <v>0</v>
      </c>
      <c r="F97" s="3" t="n">
        <v>0</v>
      </c>
      <c r="G97" s="4" t="n">
        <v>0</v>
      </c>
      <c r="H97" s="1" t="n">
        <f aca="false">B97*2*3.1415/60</f>
        <v>0</v>
      </c>
      <c r="I97" s="1" t="n">
        <f aca="false">B97*SIGN(F97)</f>
        <v>0</v>
      </c>
      <c r="J97" s="1" t="n">
        <f aca="false">H97*H97*SIGN(F97)*S$3*POWER(V$3,4)</f>
        <v>0</v>
      </c>
      <c r="K97" s="1" t="n">
        <f aca="false">F97*9.81</f>
        <v>0</v>
      </c>
      <c r="L97" s="1" t="n">
        <f aca="false">J97*O$4</f>
        <v>0</v>
      </c>
      <c r="M97" s="1" t="n">
        <f aca="false">J97*P$4</f>
        <v>0</v>
      </c>
      <c r="N97" s="1" t="n">
        <f aca="false">IF(J97=0,0,K97/J97)</f>
        <v>0</v>
      </c>
    </row>
    <row r="98" customFormat="false" ht="13.8" hidden="false" customHeight="false" outlineLevel="0" collapsed="false">
      <c r="A98" s="1" t="n">
        <v>1476</v>
      </c>
      <c r="B98" s="2" t="n">
        <v>0</v>
      </c>
      <c r="C98" s="1" t="n">
        <v>0</v>
      </c>
      <c r="D98" s="1" t="n">
        <v>16</v>
      </c>
      <c r="E98" s="4" t="n">
        <f aca="false">D98*C98</f>
        <v>0</v>
      </c>
      <c r="F98" s="3" t="n">
        <v>0</v>
      </c>
      <c r="G98" s="4" t="n">
        <v>0</v>
      </c>
      <c r="H98" s="1" t="n">
        <f aca="false">B98*2*3.1415/60</f>
        <v>0</v>
      </c>
      <c r="I98" s="1" t="n">
        <f aca="false">B98*SIGN(F98)</f>
        <v>0</v>
      </c>
      <c r="J98" s="1" t="n">
        <f aca="false">H98*H98*SIGN(F98)*S$3*POWER(V$3,4)</f>
        <v>0</v>
      </c>
      <c r="K98" s="1" t="n">
        <f aca="false">F98*9.81</f>
        <v>0</v>
      </c>
      <c r="L98" s="1" t="n">
        <f aca="false">J98*O$4</f>
        <v>0</v>
      </c>
      <c r="M98" s="1" t="n">
        <f aca="false">J98*P$4</f>
        <v>0</v>
      </c>
      <c r="N98" s="1" t="n">
        <f aca="false">IF(J98=0,0,K98/J98)</f>
        <v>0</v>
      </c>
    </row>
    <row r="99" customFormat="false" ht="13.8" hidden="false" customHeight="false" outlineLevel="0" collapsed="false">
      <c r="A99" s="1" t="n">
        <v>1480</v>
      </c>
      <c r="B99" s="2" t="n">
        <v>0</v>
      </c>
      <c r="C99" s="1" t="n">
        <v>0</v>
      </c>
      <c r="D99" s="1" t="n">
        <v>16</v>
      </c>
      <c r="E99" s="4" t="n">
        <f aca="false">D99*C99</f>
        <v>0</v>
      </c>
      <c r="F99" s="3" t="n">
        <v>0</v>
      </c>
      <c r="G99" s="4" t="n">
        <v>0</v>
      </c>
      <c r="H99" s="1" t="n">
        <f aca="false">B99*2*3.1415/60</f>
        <v>0</v>
      </c>
      <c r="I99" s="1" t="n">
        <f aca="false">B99*SIGN(F99)</f>
        <v>0</v>
      </c>
      <c r="J99" s="1" t="n">
        <f aca="false">H99*H99*SIGN(F99)*S$3*POWER(V$3,4)</f>
        <v>0</v>
      </c>
      <c r="K99" s="1" t="n">
        <f aca="false">F99*9.81</f>
        <v>0</v>
      </c>
      <c r="L99" s="1" t="n">
        <f aca="false">J99*O$4</f>
        <v>0</v>
      </c>
      <c r="M99" s="1" t="n">
        <f aca="false">J99*P$4</f>
        <v>0</v>
      </c>
      <c r="N99" s="1" t="n">
        <f aca="false">IF(J99=0,0,K99/J99)</f>
        <v>0</v>
      </c>
    </row>
    <row r="100" customFormat="false" ht="13.8" hidden="false" customHeight="false" outlineLevel="0" collapsed="false">
      <c r="A100" s="1" t="n">
        <v>1484</v>
      </c>
      <c r="B100" s="2" t="n">
        <v>0</v>
      </c>
      <c r="C100" s="1" t="n">
        <v>0</v>
      </c>
      <c r="D100" s="1" t="n">
        <v>16</v>
      </c>
      <c r="E100" s="4" t="n">
        <f aca="false">D100*C100</f>
        <v>0</v>
      </c>
      <c r="F100" s="3" t="n">
        <v>0</v>
      </c>
      <c r="G100" s="4" t="n">
        <v>0</v>
      </c>
      <c r="H100" s="1" t="n">
        <f aca="false">B100*2*3.1415/60</f>
        <v>0</v>
      </c>
      <c r="I100" s="1" t="n">
        <f aca="false">B100*SIGN(F100)</f>
        <v>0</v>
      </c>
      <c r="J100" s="1" t="n">
        <f aca="false">H100*H100*SIGN(F100)*S$3*POWER(V$3,4)</f>
        <v>0</v>
      </c>
      <c r="K100" s="1" t="n">
        <f aca="false">F100*9.81</f>
        <v>0</v>
      </c>
      <c r="L100" s="1" t="n">
        <f aca="false">J100*O$4</f>
        <v>0</v>
      </c>
      <c r="M100" s="1" t="n">
        <f aca="false">J100*P$4</f>
        <v>0</v>
      </c>
      <c r="N100" s="1" t="n">
        <f aca="false">IF(J100=0,0,K100/J100)</f>
        <v>0</v>
      </c>
    </row>
    <row r="101" customFormat="false" ht="13.8" hidden="false" customHeight="false" outlineLevel="0" collapsed="false">
      <c r="A101" s="1" t="n">
        <v>1488</v>
      </c>
      <c r="B101" s="2" t="n">
        <v>0</v>
      </c>
      <c r="C101" s="1" t="n">
        <v>0</v>
      </c>
      <c r="D101" s="1" t="n">
        <v>16</v>
      </c>
      <c r="E101" s="4" t="n">
        <f aca="false">D101*C101</f>
        <v>0</v>
      </c>
      <c r="F101" s="3" t="n">
        <v>0</v>
      </c>
      <c r="G101" s="4" t="n">
        <v>0</v>
      </c>
      <c r="H101" s="1" t="n">
        <f aca="false">B101*2*3.1415/60</f>
        <v>0</v>
      </c>
      <c r="I101" s="1" t="n">
        <f aca="false">B101*SIGN(F101)</f>
        <v>0</v>
      </c>
      <c r="J101" s="1" t="n">
        <f aca="false">H101*H101*SIGN(F101)*S$3*POWER(V$3,4)</f>
        <v>0</v>
      </c>
      <c r="K101" s="1" t="n">
        <f aca="false">F101*9.81</f>
        <v>0</v>
      </c>
      <c r="L101" s="1" t="n">
        <f aca="false">J101*O$4</f>
        <v>0</v>
      </c>
      <c r="M101" s="1" t="n">
        <f aca="false">J101*P$4</f>
        <v>0</v>
      </c>
      <c r="N101" s="1" t="n">
        <f aca="false">IF(J101=0,0,K101/J101)</f>
        <v>0</v>
      </c>
    </row>
    <row r="102" customFormat="false" ht="13.8" hidden="false" customHeight="false" outlineLevel="0" collapsed="false">
      <c r="A102" s="1" t="n">
        <v>1492</v>
      </c>
      <c r="B102" s="2" t="n">
        <v>0</v>
      </c>
      <c r="C102" s="1" t="n">
        <v>0</v>
      </c>
      <c r="D102" s="1" t="n">
        <v>16</v>
      </c>
      <c r="E102" s="4" t="n">
        <f aca="false">D102*C102</f>
        <v>0</v>
      </c>
      <c r="F102" s="3" t="n">
        <v>0</v>
      </c>
      <c r="G102" s="4" t="n">
        <v>0</v>
      </c>
      <c r="H102" s="1" t="n">
        <f aca="false">B102*2*3.1415/60</f>
        <v>0</v>
      </c>
      <c r="I102" s="1" t="n">
        <f aca="false">B102*SIGN(F102)</f>
        <v>0</v>
      </c>
      <c r="J102" s="1" t="n">
        <f aca="false">H102*H102*SIGN(F102)*S$3*POWER(V$3,4)</f>
        <v>0</v>
      </c>
      <c r="K102" s="1" t="n">
        <f aca="false">F102*9.81</f>
        <v>0</v>
      </c>
      <c r="L102" s="1" t="n">
        <f aca="false">J102*O$4</f>
        <v>0</v>
      </c>
      <c r="M102" s="1" t="n">
        <f aca="false">J102*P$4</f>
        <v>0</v>
      </c>
      <c r="N102" s="1" t="n">
        <f aca="false">IF(J102=0,0,K102/J102)</f>
        <v>0</v>
      </c>
    </row>
    <row r="103" customFormat="false" ht="13.8" hidden="false" customHeight="false" outlineLevel="0" collapsed="false">
      <c r="A103" s="1" t="n">
        <v>1496</v>
      </c>
      <c r="B103" s="2" t="n">
        <v>0</v>
      </c>
      <c r="C103" s="1" t="n">
        <v>0</v>
      </c>
      <c r="D103" s="1" t="n">
        <v>16</v>
      </c>
      <c r="E103" s="4" t="n">
        <f aca="false">D103*C103</f>
        <v>0</v>
      </c>
      <c r="F103" s="3" t="n">
        <v>0</v>
      </c>
      <c r="G103" s="4" t="n">
        <v>0</v>
      </c>
      <c r="H103" s="1" t="n">
        <f aca="false">B103*2*3.1415/60</f>
        <v>0</v>
      </c>
      <c r="I103" s="1" t="n">
        <f aca="false">B103*SIGN(F103)</f>
        <v>0</v>
      </c>
      <c r="J103" s="1" t="n">
        <f aca="false">H103*H103*SIGN(F103)*S$3*POWER(V$3,4)</f>
        <v>0</v>
      </c>
      <c r="K103" s="1" t="n">
        <f aca="false">F103*9.81</f>
        <v>0</v>
      </c>
      <c r="L103" s="1" t="n">
        <f aca="false">J103*O$4</f>
        <v>0</v>
      </c>
      <c r="M103" s="1" t="n">
        <f aca="false">J103*P$4</f>
        <v>0</v>
      </c>
      <c r="N103" s="1" t="n">
        <f aca="false">IF(J103=0,0,K103/J103)</f>
        <v>0</v>
      </c>
    </row>
    <row r="104" customFormat="false" ht="13.8" hidden="false" customHeight="false" outlineLevel="0" collapsed="false">
      <c r="A104" s="1" t="n">
        <v>1500</v>
      </c>
      <c r="B104" s="2" t="n">
        <v>0</v>
      </c>
      <c r="C104" s="1" t="n">
        <v>0</v>
      </c>
      <c r="D104" s="1" t="n">
        <v>16</v>
      </c>
      <c r="E104" s="4" t="n">
        <f aca="false">C104*D104</f>
        <v>0</v>
      </c>
      <c r="F104" s="3" t="n">
        <v>0</v>
      </c>
      <c r="G104" s="4" t="n">
        <v>0</v>
      </c>
      <c r="H104" s="1" t="n">
        <f aca="false">B104*2*3.1415/60</f>
        <v>0</v>
      </c>
      <c r="I104" s="1" t="n">
        <f aca="false">B104*SIGN(F104)</f>
        <v>0</v>
      </c>
      <c r="J104" s="1" t="n">
        <f aca="false">H104*H104*SIGN(F104)*S$3*POWER(V$3,4)</f>
        <v>0</v>
      </c>
      <c r="K104" s="1" t="n">
        <f aca="false">F104*9.81</f>
        <v>0</v>
      </c>
      <c r="L104" s="1" t="n">
        <f aca="false">J104*O$4</f>
        <v>0</v>
      </c>
      <c r="M104" s="1" t="n">
        <f aca="false">J104*P$4</f>
        <v>0</v>
      </c>
      <c r="N104" s="1" t="n">
        <f aca="false">IF(J104=0,0,K104/J104)</f>
        <v>0</v>
      </c>
    </row>
    <row r="105" customFormat="false" ht="13.8" hidden="false" customHeight="false" outlineLevel="0" collapsed="false">
      <c r="A105" s="1" t="n">
        <v>1504</v>
      </c>
      <c r="B105" s="2" t="n">
        <v>0</v>
      </c>
      <c r="C105" s="1" t="n">
        <v>0</v>
      </c>
      <c r="D105" s="1" t="n">
        <v>16</v>
      </c>
      <c r="E105" s="4" t="n">
        <f aca="false">C105*D105</f>
        <v>0</v>
      </c>
      <c r="F105" s="3" t="n">
        <v>0</v>
      </c>
      <c r="G105" s="4" t="n">
        <v>0</v>
      </c>
      <c r="H105" s="1" t="n">
        <f aca="false">B105*2*3.1415/60</f>
        <v>0</v>
      </c>
      <c r="I105" s="1" t="n">
        <f aca="false">B105*SIGN(F105)</f>
        <v>0</v>
      </c>
      <c r="J105" s="1" t="n">
        <f aca="false">H105*H105*SIGN(F105)*S$3*POWER(V$3,4)</f>
        <v>0</v>
      </c>
      <c r="K105" s="1" t="n">
        <f aca="false">F105*9.81</f>
        <v>0</v>
      </c>
      <c r="L105" s="1" t="n">
        <f aca="false">J105*O$4</f>
        <v>0</v>
      </c>
      <c r="M105" s="1" t="n">
        <f aca="false">J105*P$4</f>
        <v>0</v>
      </c>
      <c r="N105" s="1" t="n">
        <f aca="false">IF(J105=0,0,K105/J105)</f>
        <v>0</v>
      </c>
    </row>
    <row r="106" customFormat="false" ht="13.8" hidden="false" customHeight="false" outlineLevel="0" collapsed="false">
      <c r="A106" s="1" t="n">
        <v>1508</v>
      </c>
      <c r="B106" s="2" t="n">
        <v>0</v>
      </c>
      <c r="C106" s="1" t="n">
        <v>0</v>
      </c>
      <c r="D106" s="1" t="n">
        <v>16</v>
      </c>
      <c r="E106" s="4" t="n">
        <f aca="false">C106*D106</f>
        <v>0</v>
      </c>
      <c r="F106" s="3" t="n">
        <v>0</v>
      </c>
      <c r="G106" s="4" t="n">
        <v>0</v>
      </c>
      <c r="H106" s="1" t="n">
        <f aca="false">B106*2*3.1415/60</f>
        <v>0</v>
      </c>
      <c r="I106" s="1" t="n">
        <f aca="false">B106*SIGN(F106)</f>
        <v>0</v>
      </c>
      <c r="J106" s="1" t="n">
        <f aca="false">H106*H106*SIGN(F106)*S$3*POWER(V$3,4)</f>
        <v>0</v>
      </c>
      <c r="K106" s="1" t="n">
        <f aca="false">F106*9.81</f>
        <v>0</v>
      </c>
      <c r="L106" s="1" t="n">
        <f aca="false">J106*O$4</f>
        <v>0</v>
      </c>
      <c r="M106" s="1" t="n">
        <f aca="false">J106*P$4</f>
        <v>0</v>
      </c>
      <c r="N106" s="1" t="n">
        <f aca="false">IF(J106=0,0,K106/J106)</f>
        <v>0</v>
      </c>
    </row>
    <row r="107" customFormat="false" ht="13.8" hidden="false" customHeight="false" outlineLevel="0" collapsed="false">
      <c r="A107" s="1" t="n">
        <v>1512</v>
      </c>
      <c r="B107" s="2" t="n">
        <v>0</v>
      </c>
      <c r="C107" s="1" t="n">
        <v>0</v>
      </c>
      <c r="D107" s="1" t="n">
        <v>16</v>
      </c>
      <c r="E107" s="4" t="n">
        <f aca="false">C107*D107</f>
        <v>0</v>
      </c>
      <c r="F107" s="3" t="n">
        <v>0</v>
      </c>
      <c r="G107" s="4" t="n">
        <v>0</v>
      </c>
      <c r="H107" s="1" t="n">
        <f aca="false">B107*2*3.1415/60</f>
        <v>0</v>
      </c>
      <c r="I107" s="1" t="n">
        <f aca="false">B107*SIGN(F107)</f>
        <v>0</v>
      </c>
      <c r="J107" s="1" t="n">
        <f aca="false">H107*H107*SIGN(F107)*S$3*POWER(V$3,4)</f>
        <v>0</v>
      </c>
      <c r="K107" s="1" t="n">
        <f aca="false">F107*9.81</f>
        <v>0</v>
      </c>
      <c r="L107" s="1" t="n">
        <f aca="false">J107*O$4</f>
        <v>0</v>
      </c>
      <c r="M107" s="1" t="n">
        <f aca="false">J107*P$4</f>
        <v>0</v>
      </c>
      <c r="N107" s="1" t="n">
        <f aca="false">IF(J107=0,0,K107/J107)</f>
        <v>0</v>
      </c>
    </row>
    <row r="108" customFormat="false" ht="13.8" hidden="false" customHeight="false" outlineLevel="0" collapsed="false">
      <c r="A108" s="1" t="n">
        <v>1516</v>
      </c>
      <c r="B108" s="2" t="n">
        <v>0</v>
      </c>
      <c r="C108" s="1" t="n">
        <v>0</v>
      </c>
      <c r="D108" s="1" t="n">
        <v>16</v>
      </c>
      <c r="E108" s="4" t="n">
        <f aca="false">C108*D108</f>
        <v>0</v>
      </c>
      <c r="F108" s="3" t="n">
        <v>0</v>
      </c>
      <c r="G108" s="4" t="n">
        <v>0</v>
      </c>
      <c r="H108" s="1" t="n">
        <f aca="false">B108*2*3.1415/60</f>
        <v>0</v>
      </c>
      <c r="I108" s="1" t="n">
        <f aca="false">B108*SIGN(F108)</f>
        <v>0</v>
      </c>
      <c r="J108" s="1" t="n">
        <f aca="false">H108*H108*SIGN(F108)*S$3*POWER(V$3,4)</f>
        <v>0</v>
      </c>
      <c r="K108" s="1" t="n">
        <f aca="false">F108*9.81</f>
        <v>0</v>
      </c>
      <c r="L108" s="1" t="n">
        <f aca="false">J108*O$4</f>
        <v>0</v>
      </c>
      <c r="M108" s="1" t="n">
        <f aca="false">J108*P$4</f>
        <v>0</v>
      </c>
      <c r="N108" s="1" t="n">
        <f aca="false">IF(J108=0,0,K108/J108)</f>
        <v>0</v>
      </c>
    </row>
    <row r="109" customFormat="false" ht="13.8" hidden="false" customHeight="false" outlineLevel="0" collapsed="false">
      <c r="A109" s="1" t="n">
        <v>1520</v>
      </c>
      <c r="B109" s="2" t="n">
        <v>0</v>
      </c>
      <c r="C109" s="1" t="n">
        <v>0</v>
      </c>
      <c r="D109" s="1" t="n">
        <v>16</v>
      </c>
      <c r="E109" s="4" t="n">
        <f aca="false">C109*D109</f>
        <v>0</v>
      </c>
      <c r="F109" s="3" t="n">
        <v>0</v>
      </c>
      <c r="G109" s="4" t="n">
        <v>0</v>
      </c>
      <c r="H109" s="1" t="n">
        <f aca="false">B109*2*3.1415/60</f>
        <v>0</v>
      </c>
      <c r="I109" s="1" t="n">
        <f aca="false">B109*SIGN(F109)</f>
        <v>0</v>
      </c>
      <c r="J109" s="1" t="n">
        <f aca="false">H109*H109*SIGN(F109)*S$3*POWER(V$3,4)</f>
        <v>0</v>
      </c>
      <c r="K109" s="1" t="n">
        <f aca="false">F109*9.81</f>
        <v>0</v>
      </c>
      <c r="L109" s="1" t="n">
        <f aca="false">J109*O$4</f>
        <v>0</v>
      </c>
      <c r="M109" s="1" t="n">
        <f aca="false">J109*P$4</f>
        <v>0</v>
      </c>
      <c r="N109" s="1" t="n">
        <f aca="false">IF(J109=0,0,K109/J109)</f>
        <v>0</v>
      </c>
    </row>
    <row r="110" customFormat="false" ht="13.8" hidden="false" customHeight="false" outlineLevel="0" collapsed="false">
      <c r="A110" s="1" t="n">
        <v>1524</v>
      </c>
      <c r="B110" s="2" t="n">
        <v>0</v>
      </c>
      <c r="C110" s="1" t="n">
        <v>0</v>
      </c>
      <c r="D110" s="1" t="n">
        <v>16</v>
      </c>
      <c r="E110" s="4" t="n">
        <f aca="false">C110*D110</f>
        <v>0</v>
      </c>
      <c r="F110" s="3" t="n">
        <v>0</v>
      </c>
      <c r="G110" s="4" t="n">
        <v>0</v>
      </c>
      <c r="H110" s="1" t="n">
        <f aca="false">B110*2*3.1415/60</f>
        <v>0</v>
      </c>
      <c r="I110" s="1" t="n">
        <f aca="false">B110*SIGN(F110)</f>
        <v>0</v>
      </c>
      <c r="J110" s="1" t="n">
        <f aca="false">H110*H110*SIGN(F110)*S$3*POWER(V$3,4)</f>
        <v>0</v>
      </c>
      <c r="K110" s="1" t="n">
        <f aca="false">F110*9.81</f>
        <v>0</v>
      </c>
      <c r="L110" s="1" t="n">
        <f aca="false">J110*O$4</f>
        <v>0</v>
      </c>
      <c r="M110" s="1" t="n">
        <f aca="false">J110*P$4</f>
        <v>0</v>
      </c>
      <c r="N110" s="1" t="n">
        <f aca="false">IF(J110=0,0,K110/J110)</f>
        <v>0</v>
      </c>
    </row>
    <row r="111" customFormat="false" ht="13.8" hidden="false" customHeight="false" outlineLevel="0" collapsed="false">
      <c r="A111" s="1" t="n">
        <v>1528</v>
      </c>
      <c r="B111" s="2" t="n">
        <v>0</v>
      </c>
      <c r="C111" s="1" t="n">
        <v>0</v>
      </c>
      <c r="D111" s="1" t="n">
        <v>16</v>
      </c>
      <c r="E111" s="4" t="n">
        <f aca="false">C111*D111</f>
        <v>0</v>
      </c>
      <c r="F111" s="3" t="n">
        <v>0</v>
      </c>
      <c r="G111" s="4" t="n">
        <v>0</v>
      </c>
      <c r="H111" s="1" t="n">
        <f aca="false">B111*2*3.1415/60</f>
        <v>0</v>
      </c>
      <c r="I111" s="1" t="n">
        <f aca="false">B111*SIGN(F111)</f>
        <v>0</v>
      </c>
      <c r="J111" s="1" t="n">
        <f aca="false">H111*H111*SIGN(F111)*S$3*POWER(V$3,4)</f>
        <v>0</v>
      </c>
      <c r="K111" s="1" t="n">
        <f aca="false">F111*9.81</f>
        <v>0</v>
      </c>
      <c r="L111" s="1" t="n">
        <f aca="false">J111*O$4</f>
        <v>0</v>
      </c>
      <c r="M111" s="1" t="n">
        <f aca="false">J111*P$4</f>
        <v>0</v>
      </c>
      <c r="N111" s="1" t="n">
        <f aca="false">IF(J111=0,0,K111/J111)</f>
        <v>0</v>
      </c>
    </row>
    <row r="112" customFormat="false" ht="13.8" hidden="false" customHeight="false" outlineLevel="0" collapsed="false">
      <c r="A112" s="1" t="n">
        <v>1532</v>
      </c>
      <c r="B112" s="2" t="n">
        <v>308.25</v>
      </c>
      <c r="C112" s="1" t="n">
        <v>0.05</v>
      </c>
      <c r="D112" s="1" t="n">
        <v>16</v>
      </c>
      <c r="E112" s="4" t="n">
        <f aca="false">C112*D112</f>
        <v>0.8</v>
      </c>
      <c r="F112" s="3" t="n">
        <v>0.04082328</v>
      </c>
      <c r="G112" s="4" t="n">
        <v>51.0291</v>
      </c>
      <c r="H112" s="1" t="n">
        <f aca="false">B112*2*3.1415/60</f>
        <v>32.2789125</v>
      </c>
      <c r="I112" s="1" t="n">
        <f aca="false">B112*SIGN(F112)</f>
        <v>308.25</v>
      </c>
      <c r="J112" s="1" t="n">
        <f aca="false">H112*H112*SIGN(F112)*S$3*POWER(V$3,4)</f>
        <v>34.7609917269596</v>
      </c>
      <c r="K112" s="1" t="n">
        <f aca="false">F112*9.81</f>
        <v>0.4004763768</v>
      </c>
      <c r="L112" s="1" t="n">
        <f aca="false">J112*O$4</f>
        <v>0.313350296198094</v>
      </c>
      <c r="M112" s="1" t="n">
        <f aca="false">J112*P$4</f>
        <v>0.347609917269596</v>
      </c>
      <c r="N112" s="1" t="n">
        <f aca="false">IF(J112=0,0,K112/J112)</f>
        <v>0.0115208559049655</v>
      </c>
    </row>
    <row r="113" customFormat="false" ht="13.8" hidden="false" customHeight="false" outlineLevel="0" collapsed="false">
      <c r="A113" s="1" t="n">
        <v>1536</v>
      </c>
      <c r="B113" s="2" t="n">
        <v>374.8</v>
      </c>
      <c r="C113" s="1" t="n">
        <v>0.05</v>
      </c>
      <c r="D113" s="1" t="n">
        <v>16</v>
      </c>
      <c r="E113" s="4" t="n">
        <f aca="false">C113*D113</f>
        <v>0.8</v>
      </c>
      <c r="F113" s="3" t="n">
        <v>0.05443104</v>
      </c>
      <c r="G113" s="4" t="n">
        <v>68.0388</v>
      </c>
      <c r="H113" s="1" t="n">
        <f aca="false">B113*2*3.1415/60</f>
        <v>39.2478066666667</v>
      </c>
      <c r="I113" s="1" t="n">
        <f aca="false">B113*SIGN(F113)</f>
        <v>374.8</v>
      </c>
      <c r="J113" s="1" t="n">
        <f aca="false">H113*H113*SIGN(F113)*S$3*POWER(V$3,4)</f>
        <v>51.3907732362394</v>
      </c>
      <c r="K113" s="1" t="n">
        <f aca="false">F113*9.81</f>
        <v>0.5339685024</v>
      </c>
      <c r="L113" s="1" t="n">
        <f aca="false">J113*O$4</f>
        <v>0.463258187278225</v>
      </c>
      <c r="M113" s="1" t="n">
        <f aca="false">J113*P$4</f>
        <v>0.513907732362394</v>
      </c>
      <c r="N113" s="1" t="n">
        <f aca="false">IF(J113=0,0,K113/J113)</f>
        <v>0.0103903574274975</v>
      </c>
    </row>
    <row r="114" customFormat="false" ht="13.8" hidden="false" customHeight="false" outlineLevel="0" collapsed="false">
      <c r="A114" s="1" t="n">
        <v>1540</v>
      </c>
      <c r="B114" s="2" t="n">
        <v>440.8</v>
      </c>
      <c r="C114" s="1" t="n">
        <v>0.05</v>
      </c>
      <c r="D114" s="1" t="n">
        <v>16</v>
      </c>
      <c r="E114" s="4" t="n">
        <f aca="false">C114*D114</f>
        <v>0.8</v>
      </c>
      <c r="F114" s="3" t="n">
        <v>0.07711064</v>
      </c>
      <c r="G114" s="4" t="n">
        <v>96.3883</v>
      </c>
      <c r="H114" s="1" t="n">
        <f aca="false">B114*2*3.1415/60</f>
        <v>46.1591066666667</v>
      </c>
      <c r="I114" s="1" t="n">
        <f aca="false">B114*SIGN(F114)</f>
        <v>440.8</v>
      </c>
      <c r="J114" s="1" t="n">
        <f aca="false">H114*H114*SIGN(F114)*S$3*POWER(V$3,4)</f>
        <v>71.0835582818779</v>
      </c>
      <c r="K114" s="1" t="n">
        <f aca="false">F114*9.81</f>
        <v>0.7564553784</v>
      </c>
      <c r="L114" s="1" t="n">
        <f aca="false">J114*O$4</f>
        <v>0.640777289019801</v>
      </c>
      <c r="M114" s="1" t="n">
        <f aca="false">J114*P$4</f>
        <v>0.710835582818779</v>
      </c>
      <c r="N114" s="1" t="n">
        <f aca="false">IF(J114=0,0,K114/J114)</f>
        <v>0.0106417770393586</v>
      </c>
    </row>
    <row r="115" customFormat="false" ht="13.8" hidden="false" customHeight="false" outlineLevel="0" collapsed="false">
      <c r="A115" s="1" t="n">
        <v>1544</v>
      </c>
      <c r="B115" s="2" t="n">
        <v>508.01</v>
      </c>
      <c r="C115" s="1" t="n">
        <v>0.05</v>
      </c>
      <c r="D115" s="1" t="n">
        <v>16</v>
      </c>
      <c r="E115" s="4" t="n">
        <f aca="false">C115*D115</f>
        <v>0.8</v>
      </c>
      <c r="F115" s="3" t="n">
        <v>0.09979024</v>
      </c>
      <c r="G115" s="4" t="n">
        <v>124.7378</v>
      </c>
      <c r="H115" s="1" t="n">
        <f aca="false">B115*2*3.1415/60</f>
        <v>53.1971138333333</v>
      </c>
      <c r="I115" s="1" t="n">
        <f aca="false">B115*SIGN(F115)</f>
        <v>508.01</v>
      </c>
      <c r="J115" s="1" t="n">
        <f aca="false">H115*H115*SIGN(F115)*S$3*POWER(V$3,4)</f>
        <v>94.4127201517938</v>
      </c>
      <c r="K115" s="1" t="n">
        <f aca="false">F115*9.81</f>
        <v>0.9789422544</v>
      </c>
      <c r="L115" s="1" t="n">
        <f aca="false">J115*O$4</f>
        <v>0.851076230989337</v>
      </c>
      <c r="M115" s="1" t="n">
        <f aca="false">J115*P$4</f>
        <v>0.944127201517938</v>
      </c>
      <c r="N115" s="1" t="n">
        <f aca="false">IF(J115=0,0,K115/J115)</f>
        <v>0.010368753837683</v>
      </c>
    </row>
    <row r="116" customFormat="false" ht="13.8" hidden="false" customHeight="false" outlineLevel="0" collapsed="false">
      <c r="A116" s="1" t="n">
        <v>1548</v>
      </c>
      <c r="B116" s="2" t="n">
        <v>572.86</v>
      </c>
      <c r="C116" s="1" t="n">
        <v>0.1</v>
      </c>
      <c r="D116" s="1" t="n">
        <v>16</v>
      </c>
      <c r="E116" s="4" t="n">
        <f aca="false">C116*D116</f>
        <v>1.6</v>
      </c>
      <c r="F116" s="3" t="n">
        <v>0.12700576</v>
      </c>
      <c r="G116" s="4" t="n">
        <v>79.3786</v>
      </c>
      <c r="H116" s="1" t="n">
        <f aca="false">B116*2*3.1415/60</f>
        <v>59.9879896666667</v>
      </c>
      <c r="I116" s="1" t="n">
        <f aca="false">B116*SIGN(F116)</f>
        <v>572.86</v>
      </c>
      <c r="J116" s="1" t="n">
        <f aca="false">H116*H116*SIGN(F116)*S$3*POWER(V$3,4)</f>
        <v>120.055755509892</v>
      </c>
      <c r="K116" s="1" t="n">
        <f aca="false">F116*9.81</f>
        <v>1.2459265056</v>
      </c>
      <c r="L116" s="1" t="n">
        <f aca="false">J116*O$4</f>
        <v>1.08223340820665</v>
      </c>
      <c r="M116" s="1" t="n">
        <f aca="false">J116*P$4</f>
        <v>1.20055755509893</v>
      </c>
      <c r="N116" s="1" t="n">
        <f aca="false">IF(J116=0,0,K116/J116)</f>
        <v>0.0103778990045782</v>
      </c>
    </row>
    <row r="117" customFormat="false" ht="13.8" hidden="false" customHeight="false" outlineLevel="0" collapsed="false">
      <c r="A117" s="1" t="n">
        <v>1552</v>
      </c>
      <c r="B117" s="2" t="n">
        <v>630.43</v>
      </c>
      <c r="C117" s="1" t="n">
        <v>0.1</v>
      </c>
      <c r="D117" s="1" t="n">
        <v>16</v>
      </c>
      <c r="E117" s="4" t="n">
        <f aca="false">C117*D117</f>
        <v>1.6</v>
      </c>
      <c r="F117" s="3" t="n">
        <v>0.15422128</v>
      </c>
      <c r="G117" s="4" t="n">
        <v>96.3883</v>
      </c>
      <c r="H117" s="1" t="n">
        <f aca="false">B117*2*3.1415/60</f>
        <v>66.0165281666667</v>
      </c>
      <c r="I117" s="1" t="n">
        <f aca="false">B117*SIGN(F117)</f>
        <v>630.43</v>
      </c>
      <c r="J117" s="1" t="n">
        <f aca="false">H117*H117*SIGN(F117)*S$3*POWER(V$3,4)</f>
        <v>145.398434629787</v>
      </c>
      <c r="K117" s="1" t="n">
        <f aca="false">F117*9.81</f>
        <v>1.5129107568</v>
      </c>
      <c r="L117" s="1" t="n">
        <f aca="false">J117*O$4</f>
        <v>1.31068304713089</v>
      </c>
      <c r="M117" s="1" t="n">
        <f aca="false">J117*P$4</f>
        <v>1.45398434629787</v>
      </c>
      <c r="N117" s="1" t="n">
        <f aca="false">IF(J117=0,0,K117/J117)</f>
        <v>0.0104052754120233</v>
      </c>
    </row>
    <row r="118" customFormat="false" ht="13.8" hidden="false" customHeight="false" outlineLevel="0" collapsed="false">
      <c r="A118" s="1" t="n">
        <v>1556</v>
      </c>
      <c r="B118" s="2" t="n">
        <v>688.25</v>
      </c>
      <c r="C118" s="1" t="n">
        <v>0.1</v>
      </c>
      <c r="D118" s="1" t="n">
        <v>16</v>
      </c>
      <c r="E118" s="4" t="n">
        <f aca="false">C118*D118</f>
        <v>1.6</v>
      </c>
      <c r="F118" s="3" t="n">
        <v>0.1814368</v>
      </c>
      <c r="G118" s="4" t="n">
        <v>113.398</v>
      </c>
      <c r="H118" s="1" t="n">
        <f aca="false">B118*2*3.1415/60</f>
        <v>72.0712458333333</v>
      </c>
      <c r="I118" s="1" t="n">
        <f aca="false">B118*SIGN(F118)</f>
        <v>688.25</v>
      </c>
      <c r="J118" s="1" t="n">
        <f aca="false">H118*H118*SIGN(F118)*S$3*POWER(V$3,4)</f>
        <v>173.291965637818</v>
      </c>
      <c r="K118" s="1" t="n">
        <f aca="false">F118*9.81</f>
        <v>1.779895008</v>
      </c>
      <c r="L118" s="1" t="n">
        <f aca="false">J118*O$4</f>
        <v>1.56212714492969</v>
      </c>
      <c r="M118" s="1" t="n">
        <f aca="false">J118*P$4</f>
        <v>1.73291965637818</v>
      </c>
      <c r="N118" s="1" t="n">
        <f aca="false">IF(J118=0,0,K118/J118)</f>
        <v>0.010271076338992</v>
      </c>
    </row>
    <row r="119" customFormat="false" ht="13.8" hidden="false" customHeight="false" outlineLevel="0" collapsed="false">
      <c r="A119" s="1" t="n">
        <v>1560</v>
      </c>
      <c r="B119" s="2" t="n">
        <v>749.32</v>
      </c>
      <c r="C119" s="1" t="n">
        <v>0.2</v>
      </c>
      <c r="D119" s="1" t="n">
        <v>16</v>
      </c>
      <c r="E119" s="4" t="n">
        <f aca="false">C119*D119</f>
        <v>3.2</v>
      </c>
      <c r="F119" s="3" t="n">
        <v>0.21772416</v>
      </c>
      <c r="G119" s="4" t="n">
        <v>68.0388</v>
      </c>
      <c r="H119" s="1" t="n">
        <f aca="false">B119*2*3.1415/60</f>
        <v>78.4662926666667</v>
      </c>
      <c r="I119" s="1" t="n">
        <f aca="false">B119*SIGN(F119)</f>
        <v>749.32</v>
      </c>
      <c r="J119" s="1" t="n">
        <f aca="false">H119*H119*SIGN(F119)*S$3*POWER(V$3,4)</f>
        <v>205.409552613598</v>
      </c>
      <c r="K119" s="1" t="n">
        <f aca="false">F119*9.81</f>
        <v>2.1358740096</v>
      </c>
      <c r="L119" s="1" t="n">
        <f aca="false">J119*O$4</f>
        <v>1.85164867156161</v>
      </c>
      <c r="M119" s="1" t="n">
        <f aca="false">J119*P$4</f>
        <v>2.05409552613598</v>
      </c>
      <c r="N119" s="1" t="n">
        <f aca="false">IF(J119=0,0,K119/J119)</f>
        <v>0.0103981240522823</v>
      </c>
    </row>
    <row r="120" customFormat="false" ht="13.8" hidden="false" customHeight="false" outlineLevel="0" collapsed="false">
      <c r="A120" s="1" t="n">
        <v>1564</v>
      </c>
      <c r="B120" s="2" t="n">
        <v>803.61</v>
      </c>
      <c r="C120" s="1" t="n">
        <v>0.2</v>
      </c>
      <c r="D120" s="1" t="n">
        <v>16</v>
      </c>
      <c r="E120" s="4" t="n">
        <f aca="false">C120*D120</f>
        <v>3.2</v>
      </c>
      <c r="F120" s="3" t="n">
        <v>0.2494756</v>
      </c>
      <c r="G120" s="4" t="n">
        <v>77.961125</v>
      </c>
      <c r="H120" s="1" t="n">
        <f aca="false">B120*2*3.1415/60</f>
        <v>84.1513605</v>
      </c>
      <c r="I120" s="1" t="n">
        <f aca="false">B120*SIGN(F120)</f>
        <v>803.61</v>
      </c>
      <c r="J120" s="1" t="n">
        <f aca="false">H120*H120*SIGN(F120)*S$3*POWER(V$3,4)</f>
        <v>236.252630411079</v>
      </c>
      <c r="K120" s="1" t="n">
        <f aca="false">F120*9.81</f>
        <v>2.447355636</v>
      </c>
      <c r="L120" s="1" t="n">
        <f aca="false">J120*O$4</f>
        <v>2.12968123287102</v>
      </c>
      <c r="M120" s="1" t="n">
        <f aca="false">J120*P$4</f>
        <v>2.36252630411079</v>
      </c>
      <c r="N120" s="1" t="n">
        <f aca="false">IF(J120=0,0,K120/J120)</f>
        <v>0.0103590619572853</v>
      </c>
    </row>
    <row r="121" customFormat="false" ht="13.8" hidden="false" customHeight="false" outlineLevel="0" collapsed="false">
      <c r="A121" s="1" t="n">
        <v>1568</v>
      </c>
      <c r="B121" s="2" t="n">
        <v>859.4</v>
      </c>
      <c r="C121" s="1" t="n">
        <v>0.2</v>
      </c>
      <c r="D121" s="1" t="n">
        <v>16</v>
      </c>
      <c r="E121" s="4" t="n">
        <f aca="false">C121*D121</f>
        <v>3.2</v>
      </c>
      <c r="F121" s="3" t="n">
        <v>0.29029888</v>
      </c>
      <c r="G121" s="4" t="n">
        <v>90.7184</v>
      </c>
      <c r="H121" s="1" t="n">
        <f aca="false">B121*2*3.1415/60</f>
        <v>89.9935033333333</v>
      </c>
      <c r="I121" s="1" t="n">
        <f aca="false">B121*SIGN(F121)</f>
        <v>859.4</v>
      </c>
      <c r="J121" s="1" t="n">
        <f aca="false">H121*H121*SIGN(F121)*S$3*POWER(V$3,4)</f>
        <v>270.194613279492</v>
      </c>
      <c r="K121" s="1" t="n">
        <f aca="false">F121*9.81</f>
        <v>2.8478320128</v>
      </c>
      <c r="L121" s="1" t="n">
        <f aca="false">J121*O$4</f>
        <v>2.43564863647415</v>
      </c>
      <c r="M121" s="1" t="n">
        <f aca="false">J121*P$4</f>
        <v>2.70194613279492</v>
      </c>
      <c r="N121" s="1" t="n">
        <f aca="false">IF(J121=0,0,K121/J121)</f>
        <v>0.0105399288987829</v>
      </c>
    </row>
    <row r="122" customFormat="false" ht="13.8" hidden="false" customHeight="false" outlineLevel="0" collapsed="false">
      <c r="A122" s="1" t="n">
        <v>1572</v>
      </c>
      <c r="B122" s="2" t="n">
        <v>906.13</v>
      </c>
      <c r="C122" s="1" t="n">
        <v>0.3</v>
      </c>
      <c r="D122" s="1" t="n">
        <v>16</v>
      </c>
      <c r="E122" s="4" t="n">
        <f aca="false">C122*D122</f>
        <v>4.8</v>
      </c>
      <c r="F122" s="3" t="n">
        <v>0.32205032</v>
      </c>
      <c r="G122" s="4" t="n">
        <v>67.0938166666667</v>
      </c>
      <c r="H122" s="1" t="n">
        <f aca="false">B122*2*3.1415/60</f>
        <v>94.8869131666667</v>
      </c>
      <c r="I122" s="1" t="n">
        <f aca="false">B122*SIGN(F122)</f>
        <v>906.13</v>
      </c>
      <c r="J122" s="1" t="n">
        <f aca="false">H122*H122*SIGN(F122)*S$3*POWER(V$3,4)</f>
        <v>300.377228717567</v>
      </c>
      <c r="K122" s="1" t="n">
        <f aca="false">F122*9.81</f>
        <v>3.1593136392</v>
      </c>
      <c r="L122" s="1" t="n">
        <f aca="false">J122*O$4</f>
        <v>2.70772751045572</v>
      </c>
      <c r="M122" s="1" t="n">
        <f aca="false">J122*P$4</f>
        <v>3.00377228717567</v>
      </c>
      <c r="N122" s="1" t="n">
        <f aca="false">IF(J122=0,0,K122/J122)</f>
        <v>0.0105178200514347</v>
      </c>
    </row>
    <row r="123" customFormat="false" ht="13.8" hidden="false" customHeight="false" outlineLevel="0" collapsed="false">
      <c r="A123" s="1" t="n">
        <v>1576</v>
      </c>
      <c r="B123" s="2" t="n">
        <v>961.53</v>
      </c>
      <c r="C123" s="1" t="n">
        <v>0.4</v>
      </c>
      <c r="D123" s="1" t="n">
        <v>16</v>
      </c>
      <c r="E123" s="4" t="n">
        <f aca="false">C123*D123</f>
        <v>6.4</v>
      </c>
      <c r="F123" s="3" t="n">
        <v>0.35833768</v>
      </c>
      <c r="G123" s="4" t="n">
        <v>55.9902625</v>
      </c>
      <c r="H123" s="1" t="n">
        <f aca="false">B123*2*3.1415/60</f>
        <v>100.6882165</v>
      </c>
      <c r="I123" s="1" t="n">
        <f aca="false">B123*SIGN(F123)</f>
        <v>961.53</v>
      </c>
      <c r="J123" s="1" t="n">
        <f aca="false">H123*H123*SIGN(F123)*S$3*POWER(V$3,4)</f>
        <v>338.229641725947</v>
      </c>
      <c r="K123" s="1" t="n">
        <f aca="false">F123*9.81</f>
        <v>3.5152926408</v>
      </c>
      <c r="L123" s="1" t="n">
        <f aca="false">J123*O$4</f>
        <v>3.04894518690047</v>
      </c>
      <c r="M123" s="1" t="n">
        <f aca="false">J123*P$4</f>
        <v>3.38229641725947</v>
      </c>
      <c r="N123" s="1" t="n">
        <f aca="false">IF(J123=0,0,K123/J123)</f>
        <v>0.0103932127972636</v>
      </c>
    </row>
    <row r="124" customFormat="false" ht="13.8" hidden="false" customHeight="false" outlineLevel="0" collapsed="false">
      <c r="A124" s="1" t="n">
        <v>1580</v>
      </c>
      <c r="B124" s="2" t="n">
        <v>1007.38</v>
      </c>
      <c r="C124" s="1" t="n">
        <v>0.4</v>
      </c>
      <c r="D124" s="1" t="n">
        <v>16</v>
      </c>
      <c r="E124" s="4" t="n">
        <f aca="false">C124*D124</f>
        <v>6.4</v>
      </c>
      <c r="F124" s="3" t="n">
        <v>0.39916096</v>
      </c>
      <c r="G124" s="4" t="n">
        <v>62.3689</v>
      </c>
      <c r="H124" s="1" t="n">
        <f aca="false">B124*2*3.1415/60</f>
        <v>105.489475666667</v>
      </c>
      <c r="I124" s="1" t="n">
        <f aca="false">B124*SIGN(F124)</f>
        <v>1007.38</v>
      </c>
      <c r="J124" s="1" t="n">
        <f aca="false">H124*H124*SIGN(F124)*S$3*POWER(V$3,4)</f>
        <v>371.255277925788</v>
      </c>
      <c r="K124" s="1" t="n">
        <f aca="false">F124*9.81</f>
        <v>3.9157690176</v>
      </c>
      <c r="L124" s="1" t="n">
        <f aca="false">J124*O$4</f>
        <v>3.34665225367914</v>
      </c>
      <c r="M124" s="1" t="n">
        <f aca="false">J124*P$4</f>
        <v>3.71255277925787</v>
      </c>
      <c r="N124" s="1" t="n">
        <f aca="false">IF(J124=0,0,K124/J124)</f>
        <v>0.0105473760251369</v>
      </c>
    </row>
    <row r="125" customFormat="false" ht="13.8" hidden="false" customHeight="false" outlineLevel="0" collapsed="false">
      <c r="A125" s="1" t="n">
        <v>1584</v>
      </c>
      <c r="B125" s="2" t="n">
        <v>1056.66</v>
      </c>
      <c r="C125" s="1" t="n">
        <v>0.5</v>
      </c>
      <c r="D125" s="1" t="n">
        <v>16</v>
      </c>
      <c r="E125" s="4" t="n">
        <f aca="false">C125*D125</f>
        <v>8</v>
      </c>
      <c r="F125" s="3" t="n">
        <v>0.43544832</v>
      </c>
      <c r="G125" s="4" t="n">
        <v>54.43104</v>
      </c>
      <c r="H125" s="1" t="n">
        <f aca="false">B125*2*3.1415/60</f>
        <v>110.649913</v>
      </c>
      <c r="I125" s="1" t="n">
        <f aca="false">B125*SIGN(F125)</f>
        <v>1056.66</v>
      </c>
      <c r="J125" s="1" t="n">
        <f aca="false">H125*H125*SIGN(F125)*S$3*POWER(V$3,4)</f>
        <v>408.466573962302</v>
      </c>
      <c r="K125" s="1" t="n">
        <f aca="false">F125*9.81</f>
        <v>4.2717480192</v>
      </c>
      <c r="L125" s="1" t="n">
        <f aca="false">J125*O$4</f>
        <v>3.68209063030961</v>
      </c>
      <c r="M125" s="1" t="n">
        <f aca="false">J125*P$4</f>
        <v>4.08466573962302</v>
      </c>
      <c r="N125" s="1" t="n">
        <f aca="false">IF(J125=0,0,K125/J125)</f>
        <v>0.0104580112339725</v>
      </c>
    </row>
    <row r="126" customFormat="false" ht="13.8" hidden="false" customHeight="false" outlineLevel="0" collapsed="false">
      <c r="A126" s="1" t="n">
        <v>1588</v>
      </c>
      <c r="B126" s="2" t="n">
        <v>1104.32</v>
      </c>
      <c r="C126" s="1" t="n">
        <v>0.5</v>
      </c>
      <c r="D126" s="1" t="n">
        <v>16</v>
      </c>
      <c r="E126" s="4" t="n">
        <f aca="false">C126*D126</f>
        <v>8</v>
      </c>
      <c r="F126" s="3" t="n">
        <v>0.47173568</v>
      </c>
      <c r="G126" s="4" t="n">
        <v>58.96696</v>
      </c>
      <c r="H126" s="1" t="n">
        <f aca="false">B126*2*3.1415/60</f>
        <v>115.640709333333</v>
      </c>
      <c r="I126" s="1" t="n">
        <f aca="false">B126*SIGN(F126)</f>
        <v>1104.32</v>
      </c>
      <c r="J126" s="1" t="n">
        <f aca="false">H126*H126*SIGN(F126)*S$3*POWER(V$3,4)</f>
        <v>446.14482829016</v>
      </c>
      <c r="K126" s="1" t="n">
        <f aca="false">F126*9.81</f>
        <v>4.6277270208</v>
      </c>
      <c r="L126" s="1" t="n">
        <f aca="false">J126*O$4</f>
        <v>4.02173836667453</v>
      </c>
      <c r="M126" s="1" t="n">
        <f aca="false">J126*P$4</f>
        <v>4.4614482829016</v>
      </c>
      <c r="N126" s="1" t="n">
        <f aca="false">IF(J126=0,0,K126/J126)</f>
        <v>0.0103727012560824</v>
      </c>
    </row>
    <row r="127" customFormat="false" ht="13.8" hidden="false" customHeight="false" outlineLevel="0" collapsed="false">
      <c r="A127" s="1" t="n">
        <v>1592</v>
      </c>
      <c r="B127" s="2" t="n">
        <v>1147.5</v>
      </c>
      <c r="C127" s="1" t="n">
        <v>0.6</v>
      </c>
      <c r="D127" s="1" t="n">
        <v>16</v>
      </c>
      <c r="E127" s="4" t="n">
        <f aca="false">C127*D127</f>
        <v>9.6</v>
      </c>
      <c r="F127" s="3" t="n">
        <v>0.51255896</v>
      </c>
      <c r="G127" s="4" t="n">
        <v>53.3915583333333</v>
      </c>
      <c r="H127" s="1" t="n">
        <f aca="false">B127*2*3.1415/60</f>
        <v>120.162375</v>
      </c>
      <c r="I127" s="1" t="n">
        <f aca="false">B127*SIGN(F127)</f>
        <v>1147.5</v>
      </c>
      <c r="J127" s="1" t="n">
        <f aca="false">H127*H127*SIGN(F127)*S$3*POWER(V$3,4)</f>
        <v>481.716338013863</v>
      </c>
      <c r="K127" s="1" t="n">
        <f aca="false">F127*9.81</f>
        <v>5.0282033976</v>
      </c>
      <c r="L127" s="1" t="n">
        <f aca="false">J127*O$4</f>
        <v>4.34239501524451</v>
      </c>
      <c r="M127" s="1" t="n">
        <f aca="false">J127*P$4</f>
        <v>4.81716338013863</v>
      </c>
      <c r="N127" s="1" t="n">
        <f aca="false">IF(J127=0,0,K127/J127)</f>
        <v>0.0104381001863701</v>
      </c>
    </row>
    <row r="128" customFormat="false" ht="13.8" hidden="false" customHeight="false" outlineLevel="0" collapsed="false">
      <c r="A128" s="1" t="n">
        <v>1596</v>
      </c>
      <c r="B128" s="2" t="n">
        <v>1194.61</v>
      </c>
      <c r="C128" s="1" t="n">
        <v>0.7</v>
      </c>
      <c r="D128" s="1" t="n">
        <v>16</v>
      </c>
      <c r="E128" s="4" t="n">
        <f aca="false">C128*D128</f>
        <v>11.2</v>
      </c>
      <c r="F128" s="3" t="n">
        <v>0.55791816</v>
      </c>
      <c r="G128" s="4" t="n">
        <v>49.8141214285714</v>
      </c>
      <c r="H128" s="1" t="n">
        <f aca="false">B128*2*3.1415/60</f>
        <v>125.095577166667</v>
      </c>
      <c r="I128" s="1" t="n">
        <f aca="false">B128*SIGN(F128)</f>
        <v>1194.61</v>
      </c>
      <c r="J128" s="1" t="n">
        <f aca="false">H128*H128*SIGN(F128)*S$3*POWER(V$3,4)</f>
        <v>522.081470327283</v>
      </c>
      <c r="K128" s="1" t="n">
        <f aca="false">F128*9.81</f>
        <v>5.4731771496</v>
      </c>
      <c r="L128" s="1" t="n">
        <f aca="false">J128*O$4</f>
        <v>4.7062634073156</v>
      </c>
      <c r="M128" s="1" t="n">
        <f aca="false">J128*P$4</f>
        <v>5.22081470327283</v>
      </c>
      <c r="N128" s="1" t="n">
        <f aca="false">IF(J128=0,0,K128/J128)</f>
        <v>0.010483377519928</v>
      </c>
    </row>
    <row r="129" customFormat="false" ht="13.8" hidden="false" customHeight="false" outlineLevel="0" collapsed="false">
      <c r="A129" s="1" t="n">
        <v>1600</v>
      </c>
      <c r="B129" s="2" t="n">
        <v>1237.07</v>
      </c>
      <c r="C129" s="1" t="n">
        <v>0.8</v>
      </c>
      <c r="D129" s="1" t="n">
        <v>16</v>
      </c>
      <c r="E129" s="4" t="n">
        <f aca="false">C129*D129</f>
        <v>12.8</v>
      </c>
      <c r="F129" s="3" t="n">
        <v>0.60327736</v>
      </c>
      <c r="G129" s="4" t="n">
        <v>47.13104375</v>
      </c>
      <c r="H129" s="1" t="n">
        <f aca="false">B129*2*3.1415/60</f>
        <v>129.541846833333</v>
      </c>
      <c r="I129" s="1" t="n">
        <f aca="false">B129*SIGN(F129)</f>
        <v>1237.07</v>
      </c>
      <c r="J129" s="1" t="n">
        <f aca="false">H129*H129*SIGN(F129)*S$3*POWER(V$3,4)</f>
        <v>559.853680753869</v>
      </c>
      <c r="K129" s="1" t="n">
        <f aca="false">F129*9.81</f>
        <v>5.9181509016</v>
      </c>
      <c r="L129" s="1" t="n">
        <f aca="false">J129*O$4</f>
        <v>5.04675810373268</v>
      </c>
      <c r="M129" s="1" t="n">
        <f aca="false">J129*P$4</f>
        <v>5.59853680753869</v>
      </c>
      <c r="N129" s="1" t="n">
        <f aca="false">IF(J129=0,0,K129/J129)</f>
        <v>0.0105708886179527</v>
      </c>
    </row>
    <row r="130" customFormat="false" ht="13.8" hidden="false" customHeight="false" outlineLevel="0" collapsed="false">
      <c r="A130" s="1" t="n">
        <v>1604</v>
      </c>
      <c r="B130" s="2" t="n">
        <v>1278.89</v>
      </c>
      <c r="C130" s="1" t="n">
        <v>0.8</v>
      </c>
      <c r="D130" s="1" t="n">
        <v>16</v>
      </c>
      <c r="E130" s="4" t="n">
        <f aca="false">C130*D130</f>
        <v>12.8</v>
      </c>
      <c r="F130" s="3" t="n">
        <v>0.63956472</v>
      </c>
      <c r="G130" s="4" t="n">
        <v>49.96599375</v>
      </c>
      <c r="H130" s="1" t="n">
        <f aca="false">B130*2*3.1415/60</f>
        <v>133.921097833333</v>
      </c>
      <c r="I130" s="1" t="n">
        <f aca="false">B130*SIGN(F130)</f>
        <v>1278.89</v>
      </c>
      <c r="J130" s="1" t="n">
        <f aca="false">H130*H130*SIGN(F130)*S$3*POWER(V$3,4)</f>
        <v>598.3459706977</v>
      </c>
      <c r="K130" s="1" t="n">
        <f aca="false">F130*9.81</f>
        <v>6.2741299032</v>
      </c>
      <c r="L130" s="1" t="n">
        <f aca="false">J130*O$4</f>
        <v>5.39374390177847</v>
      </c>
      <c r="M130" s="1" t="n">
        <f aca="false">J130*P$4</f>
        <v>5.983459706977</v>
      </c>
      <c r="N130" s="1" t="n">
        <f aca="false">IF(J130=0,0,K130/J130)</f>
        <v>0.0104857895105136</v>
      </c>
    </row>
    <row r="131" customFormat="false" ht="13.8" hidden="false" customHeight="false" outlineLevel="0" collapsed="false">
      <c r="A131" s="1" t="n">
        <v>1608</v>
      </c>
      <c r="B131" s="2" t="n">
        <v>1319.08</v>
      </c>
      <c r="C131" s="1" t="n">
        <v>0.9</v>
      </c>
      <c r="D131" s="1" t="n">
        <v>16</v>
      </c>
      <c r="E131" s="4" t="n">
        <f aca="false">C131*D131</f>
        <v>14.4</v>
      </c>
      <c r="F131" s="3" t="n">
        <v>0.680388</v>
      </c>
      <c r="G131" s="4" t="n">
        <v>47.2491666666667</v>
      </c>
      <c r="H131" s="1" t="n">
        <f aca="false">B131*2*3.1415/60</f>
        <v>138.129660666667</v>
      </c>
      <c r="I131" s="1" t="n">
        <f aca="false">B131*SIGN(F131)</f>
        <v>1319.08</v>
      </c>
      <c r="J131" s="1" t="n">
        <f aca="false">H131*H131*SIGN(F131)*S$3*POWER(V$3,4)</f>
        <v>636.543750932107</v>
      </c>
      <c r="K131" s="1" t="n">
        <f aca="false">F131*9.81</f>
        <v>6.67460628</v>
      </c>
      <c r="L131" s="1" t="n">
        <f aca="false">J131*O$4</f>
        <v>5.73807486461685</v>
      </c>
      <c r="M131" s="1" t="n">
        <f aca="false">J131*P$4</f>
        <v>6.36543750932107</v>
      </c>
      <c r="N131" s="1" t="n">
        <f aca="false">IF(J131=0,0,K131/J131)</f>
        <v>0.0104856991687158</v>
      </c>
    </row>
    <row r="132" customFormat="false" ht="13.8" hidden="false" customHeight="false" outlineLevel="0" collapsed="false">
      <c r="A132" s="1" t="n">
        <v>1612</v>
      </c>
      <c r="B132" s="2" t="n">
        <v>1359.21</v>
      </c>
      <c r="C132" s="1" t="n">
        <v>1</v>
      </c>
      <c r="D132" s="1" t="n">
        <v>16</v>
      </c>
      <c r="E132" s="4" t="n">
        <f aca="false">C132*D132</f>
        <v>16</v>
      </c>
      <c r="F132" s="3" t="n">
        <v>0.72121128</v>
      </c>
      <c r="G132" s="4" t="n">
        <v>45.075705</v>
      </c>
      <c r="H132" s="1" t="n">
        <f aca="false">B132*2*3.1415/60</f>
        <v>142.3319405</v>
      </c>
      <c r="I132" s="1" t="n">
        <f aca="false">B132*SIGN(F132)</f>
        <v>1359.21</v>
      </c>
      <c r="J132" s="1" t="n">
        <f aca="false">H132*H132*SIGN(F132)*S$3*POWER(V$3,4)</f>
        <v>675.863681955171</v>
      </c>
      <c r="K132" s="1" t="n">
        <f aca="false">F132*9.81</f>
        <v>7.0750826568</v>
      </c>
      <c r="L132" s="1" t="n">
        <f aca="false">J132*O$4</f>
        <v>6.0925213697495</v>
      </c>
      <c r="M132" s="1" t="n">
        <f aca="false">J132*P$4</f>
        <v>6.75863681955171</v>
      </c>
      <c r="N132" s="1" t="n">
        <f aca="false">IF(J132=0,0,K132/J132)</f>
        <v>0.0104682095601481</v>
      </c>
    </row>
    <row r="133" customFormat="false" ht="13.8" hidden="false" customHeight="false" outlineLevel="0" collapsed="false">
      <c r="A133" s="1" t="n">
        <v>1616</v>
      </c>
      <c r="B133" s="2" t="n">
        <v>1408.65</v>
      </c>
      <c r="C133" s="1" t="n">
        <v>1.1</v>
      </c>
      <c r="D133" s="1" t="n">
        <v>16</v>
      </c>
      <c r="E133" s="4" t="n">
        <f aca="false">C133*D133</f>
        <v>17.6</v>
      </c>
      <c r="F133" s="3" t="n">
        <v>0.77564232</v>
      </c>
      <c r="G133" s="4" t="n">
        <v>44.0705863636364</v>
      </c>
      <c r="H133" s="1" t="n">
        <f aca="false">B133*2*3.1415/60</f>
        <v>147.5091325</v>
      </c>
      <c r="I133" s="1" t="n">
        <f aca="false">B133*SIGN(F133)</f>
        <v>1408.65</v>
      </c>
      <c r="J133" s="1" t="n">
        <f aca="false">H133*H133*SIGN(F133)*S$3*POWER(V$3,4)</f>
        <v>725.925725003825</v>
      </c>
      <c r="K133" s="1" t="n">
        <f aca="false">F133*9.81</f>
        <v>7.6090511592</v>
      </c>
      <c r="L133" s="1" t="n">
        <f aca="false">J133*O$4</f>
        <v>6.54380182057195</v>
      </c>
      <c r="M133" s="1" t="n">
        <f aca="false">J133*P$4</f>
        <v>7.25925725003825</v>
      </c>
      <c r="N133" s="1" t="n">
        <f aca="false">IF(J133=0,0,K133/J133)</f>
        <v>0.0104818590898675</v>
      </c>
    </row>
    <row r="134" customFormat="false" ht="13.8" hidden="false" customHeight="false" outlineLevel="0" collapsed="false">
      <c r="A134" s="1" t="n">
        <v>1620</v>
      </c>
      <c r="B134" s="2" t="n">
        <v>1443.5</v>
      </c>
      <c r="C134" s="1" t="n">
        <v>1.2</v>
      </c>
      <c r="D134" s="1" t="n">
        <v>16</v>
      </c>
      <c r="E134" s="4" t="n">
        <f aca="false">C134*D134</f>
        <v>19.2</v>
      </c>
      <c r="F134" s="3" t="n">
        <v>0.8164656</v>
      </c>
      <c r="G134" s="4" t="n">
        <v>42.52425</v>
      </c>
      <c r="H134" s="1" t="n">
        <f aca="false">B134*2*3.1415/60</f>
        <v>151.158508333333</v>
      </c>
      <c r="I134" s="1" t="n">
        <f aca="false">B134*SIGN(F134)</f>
        <v>1443.5</v>
      </c>
      <c r="J134" s="1" t="n">
        <f aca="false">H134*H134*SIGN(F134)*S$3*POWER(V$3,4)</f>
        <v>762.288844437129</v>
      </c>
      <c r="K134" s="1" t="n">
        <f aca="false">F134*9.81</f>
        <v>8.009527536</v>
      </c>
      <c r="L134" s="1" t="n">
        <f aca="false">J134*O$4</f>
        <v>6.8715943742083</v>
      </c>
      <c r="M134" s="1" t="n">
        <f aca="false">J134*P$4</f>
        <v>7.62288844437129</v>
      </c>
      <c r="N134" s="1" t="n">
        <f aca="false">IF(J134=0,0,K134/J134)</f>
        <v>0.0105072081199276</v>
      </c>
    </row>
    <row r="135" customFormat="false" ht="13.8" hidden="false" customHeight="false" outlineLevel="0" collapsed="false">
      <c r="A135" s="1" t="n">
        <v>1624</v>
      </c>
      <c r="B135" s="2" t="n">
        <v>1479.63</v>
      </c>
      <c r="C135" s="1" t="n">
        <v>1.3</v>
      </c>
      <c r="D135" s="1" t="n">
        <v>16</v>
      </c>
      <c r="E135" s="4" t="n">
        <f aca="false">C135*D135</f>
        <v>20.8</v>
      </c>
      <c r="F135" s="3" t="n">
        <v>0.87089664</v>
      </c>
      <c r="G135" s="4" t="n">
        <v>41.8700307692308</v>
      </c>
      <c r="H135" s="1" t="n">
        <f aca="false">B135*2*3.1415/60</f>
        <v>154.9419215</v>
      </c>
      <c r="I135" s="1" t="n">
        <f aca="false">B135*SIGN(F135)</f>
        <v>1479.63</v>
      </c>
      <c r="J135" s="1" t="n">
        <f aca="false">H135*H135*SIGN(F135)*S$3*POWER(V$3,4)</f>
        <v>800.925727141329</v>
      </c>
      <c r="K135" s="1" t="n">
        <f aca="false">F135*9.81</f>
        <v>8.5434960384</v>
      </c>
      <c r="L135" s="1" t="n">
        <f aca="false">J135*O$4</f>
        <v>7.21988359261234</v>
      </c>
      <c r="M135" s="1" t="n">
        <f aca="false">J135*P$4</f>
        <v>8.00925727141329</v>
      </c>
      <c r="N135" s="1" t="n">
        <f aca="false">IF(J135=0,0,K135/J135)</f>
        <v>0.0106670266029455</v>
      </c>
    </row>
    <row r="136" customFormat="false" ht="13.8" hidden="false" customHeight="false" outlineLevel="0" collapsed="false">
      <c r="A136" s="1" t="n">
        <v>1628</v>
      </c>
      <c r="B136" s="2" t="n">
        <v>1516.03</v>
      </c>
      <c r="C136" s="1" t="n">
        <v>1.45</v>
      </c>
      <c r="D136" s="1" t="n">
        <v>16</v>
      </c>
      <c r="E136" s="4" t="n">
        <f aca="false">C136*D136</f>
        <v>23.2</v>
      </c>
      <c r="F136" s="3" t="n">
        <v>0.907184</v>
      </c>
      <c r="G136" s="4" t="n">
        <v>39.1027586206897</v>
      </c>
      <c r="H136" s="1" t="n">
        <f aca="false">B136*2*3.1415/60</f>
        <v>158.753608166667</v>
      </c>
      <c r="I136" s="1" t="n">
        <f aca="false">B136*SIGN(F136)</f>
        <v>1516.03</v>
      </c>
      <c r="J136" s="1" t="n">
        <f aca="false">H136*H136*SIGN(F136)*S$3*POWER(V$3,4)</f>
        <v>840.817183506848</v>
      </c>
      <c r="K136" s="1" t="n">
        <f aca="false">F136*9.81</f>
        <v>8.89947504</v>
      </c>
      <c r="L136" s="1" t="n">
        <f aca="false">J136*O$4</f>
        <v>7.57948206914873</v>
      </c>
      <c r="M136" s="1" t="n">
        <f aca="false">J136*P$4</f>
        <v>8.40817183506848</v>
      </c>
      <c r="N136" s="1" t="n">
        <f aca="false">IF(J136=0,0,K136/J136)</f>
        <v>0.01058431632294</v>
      </c>
    </row>
    <row r="137" customFormat="false" ht="13.8" hidden="false" customHeight="false" outlineLevel="0" collapsed="false">
      <c r="A137" s="1" t="n">
        <v>1632</v>
      </c>
      <c r="B137" s="2" t="n">
        <v>1548.64</v>
      </c>
      <c r="C137" s="1" t="n">
        <v>1.5</v>
      </c>
      <c r="D137" s="1" t="n">
        <v>16</v>
      </c>
      <c r="E137" s="4" t="n">
        <f aca="false">C137*D137</f>
        <v>24</v>
      </c>
      <c r="F137" s="3" t="n">
        <v>0.94800728</v>
      </c>
      <c r="G137" s="4" t="n">
        <v>39.5003033333333</v>
      </c>
      <c r="H137" s="1" t="n">
        <f aca="false">B137*2*3.1415/60</f>
        <v>162.168418666667</v>
      </c>
      <c r="I137" s="1" t="n">
        <f aca="false">B137*SIGN(F137)</f>
        <v>1548.64</v>
      </c>
      <c r="J137" s="1" t="n">
        <f aca="false">H137*H137*SIGN(F137)*S$3*POWER(V$3,4)</f>
        <v>877.37838873351</v>
      </c>
      <c r="K137" s="1" t="n">
        <f aca="false">F137*9.81</f>
        <v>9.2999514168</v>
      </c>
      <c r="L137" s="1" t="n">
        <f aca="false">J137*O$4</f>
        <v>7.90906025199006</v>
      </c>
      <c r="M137" s="1" t="n">
        <f aca="false">J137*P$4</f>
        <v>8.7737838873351</v>
      </c>
      <c r="N137" s="1" t="n">
        <f aca="false">IF(J137=0,0,K137/J137)</f>
        <v>0.0105997042282115</v>
      </c>
    </row>
    <row r="138" customFormat="false" ht="13.8" hidden="false" customHeight="false" outlineLevel="0" collapsed="false">
      <c r="A138" s="1" t="n">
        <v>1636</v>
      </c>
      <c r="B138" s="2" t="n">
        <v>1583.02</v>
      </c>
      <c r="C138" s="1" t="n">
        <v>1.6</v>
      </c>
      <c r="D138" s="1" t="n">
        <v>16</v>
      </c>
      <c r="E138" s="4" t="n">
        <f aca="false">C138*D138</f>
        <v>25.6</v>
      </c>
      <c r="F138" s="3" t="n">
        <v>0.99336648</v>
      </c>
      <c r="G138" s="4" t="n">
        <v>38.803378125</v>
      </c>
      <c r="H138" s="1" t="n">
        <f aca="false">B138*2*3.1415/60</f>
        <v>165.768577666667</v>
      </c>
      <c r="I138" s="1" t="n">
        <f aca="false">B138*SIGN(F138)</f>
        <v>1583.02</v>
      </c>
      <c r="J138" s="1" t="n">
        <f aca="false">H138*H138*SIGN(F138)*S$3*POWER(V$3,4)</f>
        <v>916.766618742406</v>
      </c>
      <c r="K138" s="1" t="n">
        <f aca="false">F138*9.81</f>
        <v>9.7449251688</v>
      </c>
      <c r="L138" s="1" t="n">
        <f aca="false">J138*O$4</f>
        <v>8.26412243309677</v>
      </c>
      <c r="M138" s="1" t="n">
        <f aca="false">J138*P$4</f>
        <v>9.16766618742406</v>
      </c>
      <c r="N138" s="1" t="n">
        <f aca="false">IF(J138=0,0,K138/J138)</f>
        <v>0.0106296684124121</v>
      </c>
    </row>
    <row r="139" customFormat="false" ht="13.8" hidden="false" customHeight="false" outlineLevel="0" collapsed="false">
      <c r="A139" s="1" t="n">
        <v>1640</v>
      </c>
      <c r="B139" s="2" t="n">
        <v>1628.86</v>
      </c>
      <c r="C139" s="1" t="n">
        <v>1.8</v>
      </c>
      <c r="D139" s="1" t="n">
        <v>16</v>
      </c>
      <c r="E139" s="4" t="n">
        <f aca="false">C139*D139</f>
        <v>28.8</v>
      </c>
      <c r="F139" s="3" t="n">
        <v>1.03418976</v>
      </c>
      <c r="G139" s="4" t="n">
        <v>35.9093666666667</v>
      </c>
      <c r="H139" s="1" t="n">
        <f aca="false">B139*2*3.1415/60</f>
        <v>170.568789666667</v>
      </c>
      <c r="I139" s="1" t="n">
        <f aca="false">B139*SIGN(F139)</f>
        <v>1628.86</v>
      </c>
      <c r="J139" s="1" t="n">
        <f aca="false">H139*H139*SIGN(F139)*S$3*POWER(V$3,4)</f>
        <v>970.629540515939</v>
      </c>
      <c r="K139" s="1" t="n">
        <f aca="false">F139*9.81</f>
        <v>10.1454015456</v>
      </c>
      <c r="L139" s="1" t="n">
        <f aca="false">J139*O$4</f>
        <v>8.7496656139244</v>
      </c>
      <c r="M139" s="1" t="n">
        <f aca="false">J139*P$4</f>
        <v>9.70629540515939</v>
      </c>
      <c r="N139" s="1" t="n">
        <f aca="false">IF(J139=0,0,K139/J139)</f>
        <v>0.0104523931346734</v>
      </c>
    </row>
    <row r="140" customFormat="false" ht="13.8" hidden="false" customHeight="false" outlineLevel="0" collapsed="false">
      <c r="A140" s="1" t="n">
        <v>1644</v>
      </c>
      <c r="B140" s="2" t="n">
        <v>1668.42</v>
      </c>
      <c r="C140" s="1" t="n">
        <v>2</v>
      </c>
      <c r="D140" s="1" t="n">
        <v>16</v>
      </c>
      <c r="E140" s="4" t="n">
        <f aca="false">C140*D140</f>
        <v>32</v>
      </c>
      <c r="F140" s="3" t="n">
        <v>1.09769264</v>
      </c>
      <c r="G140" s="4" t="n">
        <v>34.302895</v>
      </c>
      <c r="H140" s="1" t="n">
        <f aca="false">B140*2*3.1415/60</f>
        <v>174.711381</v>
      </c>
      <c r="I140" s="1" t="n">
        <f aca="false">B140*SIGN(F140)</f>
        <v>1668.42</v>
      </c>
      <c r="J140" s="1" t="n">
        <f aca="false">H140*H140*SIGN(F140)*S$3*POWER(V$3,4)</f>
        <v>1018.34928384396</v>
      </c>
      <c r="K140" s="1" t="n">
        <f aca="false">F140*9.81</f>
        <v>10.7683647984</v>
      </c>
      <c r="L140" s="1" t="n">
        <f aca="false">J140*O$4</f>
        <v>9.17983158340496</v>
      </c>
      <c r="M140" s="1" t="n">
        <f aca="false">J140*P$4</f>
        <v>10.1834928384396</v>
      </c>
      <c r="N140" s="1" t="n">
        <f aca="false">IF(J140=0,0,K140/J140)</f>
        <v>0.0105743333542227</v>
      </c>
    </row>
    <row r="141" customFormat="false" ht="13.8" hidden="false" customHeight="false" outlineLevel="0" collapsed="false">
      <c r="A141" s="1" t="n">
        <v>1648</v>
      </c>
      <c r="B141" s="2" t="n">
        <v>1699.09</v>
      </c>
      <c r="C141" s="1" t="n">
        <v>2.1</v>
      </c>
      <c r="D141" s="1" t="n">
        <v>16</v>
      </c>
      <c r="E141" s="4" t="n">
        <f aca="false">C141*D141</f>
        <v>33.6</v>
      </c>
      <c r="F141" s="3" t="n">
        <v>1.14305184</v>
      </c>
      <c r="G141" s="4" t="n">
        <v>34.0194</v>
      </c>
      <c r="H141" s="1" t="n">
        <f aca="false">B141*2*3.1415/60</f>
        <v>177.923041166667</v>
      </c>
      <c r="I141" s="1" t="n">
        <f aca="false">B141*SIGN(F141)</f>
        <v>1699.09</v>
      </c>
      <c r="J141" s="1" t="n">
        <f aca="false">H141*H141*SIGN(F141)*S$3*POWER(V$3,4)</f>
        <v>1056.13334694219</v>
      </c>
      <c r="K141" s="1" t="n">
        <f aca="false">F141*9.81</f>
        <v>11.2133385504</v>
      </c>
      <c r="L141" s="1" t="n">
        <f aca="false">J141*O$4</f>
        <v>9.52043312482229</v>
      </c>
      <c r="M141" s="1" t="n">
        <f aca="false">J141*P$4</f>
        <v>10.5613334694219</v>
      </c>
      <c r="N141" s="1" t="n">
        <f aca="false">IF(J141=0,0,K141/J141)</f>
        <v>0.0106173510976297</v>
      </c>
    </row>
    <row r="142" customFormat="false" ht="13.8" hidden="false" customHeight="false" outlineLevel="0" collapsed="false">
      <c r="A142" s="1" t="n">
        <v>1652</v>
      </c>
      <c r="B142" s="2" t="n">
        <v>1739.95</v>
      </c>
      <c r="C142" s="1" t="n">
        <v>2.2</v>
      </c>
      <c r="D142" s="1" t="n">
        <v>16</v>
      </c>
      <c r="E142" s="4" t="n">
        <f aca="false">C142*D142</f>
        <v>35.2</v>
      </c>
      <c r="F142" s="3" t="n">
        <v>1.18387512</v>
      </c>
      <c r="G142" s="4" t="n">
        <v>33.6328159090909</v>
      </c>
      <c r="H142" s="1" t="n">
        <f aca="false">B142*2*3.1415/60</f>
        <v>182.201764166667</v>
      </c>
      <c r="I142" s="1" t="n">
        <f aca="false">B142*SIGN(F142)</f>
        <v>1739.95</v>
      </c>
      <c r="J142" s="1" t="n">
        <f aca="false">H142*H142*SIGN(F142)*S$3*POWER(V$3,4)</f>
        <v>1107.54026611398</v>
      </c>
      <c r="K142" s="1" t="n">
        <f aca="false">F142*9.81</f>
        <v>11.6138149272</v>
      </c>
      <c r="L142" s="1" t="n">
        <f aca="false">J142*O$4</f>
        <v>9.98383685839928</v>
      </c>
      <c r="M142" s="1" t="n">
        <f aca="false">J142*P$4</f>
        <v>11.0754026611398</v>
      </c>
      <c r="N142" s="1" t="n">
        <f aca="false">IF(J142=0,0,K142/J142)</f>
        <v>0.010486133355629</v>
      </c>
    </row>
    <row r="143" customFormat="false" ht="13.8" hidden="false" customHeight="false" outlineLevel="0" collapsed="false">
      <c r="A143" s="1" t="n">
        <v>1656</v>
      </c>
      <c r="B143" s="2" t="n">
        <v>1766.18</v>
      </c>
      <c r="C143" s="1" t="n">
        <v>2.4</v>
      </c>
      <c r="D143" s="1" t="n">
        <v>16</v>
      </c>
      <c r="E143" s="4" t="n">
        <f aca="false">C143*D143</f>
        <v>38.4</v>
      </c>
      <c r="F143" s="3" t="n">
        <v>1.23830616</v>
      </c>
      <c r="G143" s="4" t="n">
        <v>32.24755625</v>
      </c>
      <c r="H143" s="1" t="n">
        <f aca="false">B143*2*3.1415/60</f>
        <v>184.948482333333</v>
      </c>
      <c r="I143" s="1" t="n">
        <f aca="false">B143*SIGN(F143)</f>
        <v>1766.18</v>
      </c>
      <c r="J143" s="1" t="n">
        <f aca="false">H143*H143*SIGN(F143)*S$3*POWER(V$3,4)</f>
        <v>1141.18462780445</v>
      </c>
      <c r="K143" s="1" t="n">
        <f aca="false">F143*9.81</f>
        <v>12.1477834296</v>
      </c>
      <c r="L143" s="1" t="n">
        <f aca="false">J143*O$4</f>
        <v>10.2871213787004</v>
      </c>
      <c r="M143" s="1" t="n">
        <f aca="false">J143*P$4</f>
        <v>11.4118462780445</v>
      </c>
      <c r="N143" s="1" t="n">
        <f aca="false">IF(J143=0,0,K143/J143)</f>
        <v>0.0106448887705151</v>
      </c>
    </row>
    <row r="144" customFormat="false" ht="13.8" hidden="false" customHeight="false" outlineLevel="0" collapsed="false">
      <c r="A144" s="1" t="n">
        <v>1660</v>
      </c>
      <c r="B144" s="2" t="n">
        <v>1802.32</v>
      </c>
      <c r="C144" s="1" t="n">
        <v>2.6</v>
      </c>
      <c r="D144" s="1" t="n">
        <v>16</v>
      </c>
      <c r="E144" s="4" t="n">
        <f aca="false">C144*D144</f>
        <v>41.6</v>
      </c>
      <c r="F144" s="3" t="n">
        <v>1.27912944</v>
      </c>
      <c r="G144" s="4" t="n">
        <v>30.7483038461538</v>
      </c>
      <c r="H144" s="1" t="n">
        <f aca="false">B144*2*3.1415/60</f>
        <v>188.732942666667</v>
      </c>
      <c r="I144" s="1" t="n">
        <f aca="false">B144*SIGN(F144)</f>
        <v>1802.32</v>
      </c>
      <c r="J144" s="1" t="n">
        <f aca="false">H144*H144*SIGN(F144)*S$3*POWER(V$3,4)</f>
        <v>1188.36483427364</v>
      </c>
      <c r="K144" s="1" t="n">
        <f aca="false">F144*9.81</f>
        <v>12.5482598064</v>
      </c>
      <c r="L144" s="1" t="n">
        <f aca="false">J144*O$4</f>
        <v>10.7124237345116</v>
      </c>
      <c r="M144" s="1" t="n">
        <f aca="false">J144*P$4</f>
        <v>11.8836483427364</v>
      </c>
      <c r="N144" s="1" t="n">
        <f aca="false">IF(J144=0,0,K144/J144)</f>
        <v>0.0105592655087862</v>
      </c>
    </row>
    <row r="145" customFormat="false" ht="13.8" hidden="false" customHeight="false" outlineLevel="0" collapsed="false">
      <c r="A145" s="1" t="n">
        <v>1664</v>
      </c>
      <c r="B145" s="2" t="n">
        <v>1835.1</v>
      </c>
      <c r="C145" s="1" t="n">
        <v>2.8</v>
      </c>
      <c r="D145" s="1" t="n">
        <v>16</v>
      </c>
      <c r="E145" s="4" t="n">
        <f aca="false">C145*D145</f>
        <v>44.8</v>
      </c>
      <c r="F145" s="3" t="n">
        <v>1.32902456</v>
      </c>
      <c r="G145" s="4" t="n">
        <v>29.6657267857143</v>
      </c>
      <c r="H145" s="1" t="n">
        <f aca="false">B145*2*3.1415/60</f>
        <v>192.165555</v>
      </c>
      <c r="I145" s="1" t="n">
        <f aca="false">B145*SIGN(F145)</f>
        <v>1835.1</v>
      </c>
      <c r="J145" s="1" t="n">
        <f aca="false">H145*H145*SIGN(F145)*S$3*POWER(V$3,4)</f>
        <v>1231.98510808811</v>
      </c>
      <c r="K145" s="1" t="n">
        <f aca="false">F145*9.81</f>
        <v>13.0377309336</v>
      </c>
      <c r="L145" s="1" t="n">
        <f aca="false">J145*O$4</f>
        <v>11.1056353502034</v>
      </c>
      <c r="M145" s="1" t="n">
        <f aca="false">J145*P$4</f>
        <v>12.3198510808811</v>
      </c>
      <c r="N145" s="1" t="n">
        <f aca="false">IF(J145=0,0,K145/J145)</f>
        <v>0.0105827017291085</v>
      </c>
    </row>
    <row r="146" customFormat="false" ht="13.8" hidden="false" customHeight="false" outlineLevel="0" collapsed="false">
      <c r="A146" s="1" t="n">
        <v>1668</v>
      </c>
      <c r="B146" s="2" t="n">
        <v>1865.47</v>
      </c>
      <c r="C146" s="1" t="n">
        <v>2.9</v>
      </c>
      <c r="D146" s="1" t="n">
        <v>16</v>
      </c>
      <c r="E146" s="4" t="n">
        <f aca="false">C146*D146</f>
        <v>46.4</v>
      </c>
      <c r="F146" s="3" t="n">
        <v>1.38799152</v>
      </c>
      <c r="G146" s="4" t="n">
        <v>29.9136103448276</v>
      </c>
      <c r="H146" s="1" t="n">
        <f aca="false">B146*2*3.1415/60</f>
        <v>195.345800166667</v>
      </c>
      <c r="I146" s="1" t="n">
        <f aca="false">B146*SIGN(F146)</f>
        <v>1865.47</v>
      </c>
      <c r="J146" s="1" t="n">
        <f aca="false">H146*H146*SIGN(F146)*S$3*POWER(V$3,4)</f>
        <v>1273.10002372237</v>
      </c>
      <c r="K146" s="1" t="n">
        <f aca="false">F146*9.81</f>
        <v>13.6161968112</v>
      </c>
      <c r="L146" s="1" t="n">
        <f aca="false">J146*O$4</f>
        <v>11.4762626065645</v>
      </c>
      <c r="M146" s="1" t="n">
        <f aca="false">J146*P$4</f>
        <v>12.7310002372237</v>
      </c>
      <c r="N146" s="1" t="n">
        <f aca="false">IF(J146=0,0,K146/J146)</f>
        <v>0.0106953079549776</v>
      </c>
    </row>
    <row r="147" customFormat="false" ht="13.8" hidden="false" customHeight="false" outlineLevel="0" collapsed="false">
      <c r="A147" s="1" t="n">
        <v>1672</v>
      </c>
      <c r="B147" s="2" t="n">
        <v>1900.85</v>
      </c>
      <c r="C147" s="1" t="n">
        <v>3.1</v>
      </c>
      <c r="D147" s="1" t="n">
        <v>16</v>
      </c>
      <c r="E147" s="4" t="n">
        <f aca="false">C147*D147</f>
        <v>49.6</v>
      </c>
      <c r="F147" s="3" t="n">
        <v>1.43788664</v>
      </c>
      <c r="G147" s="4" t="n">
        <v>28.98965</v>
      </c>
      <c r="H147" s="1" t="n">
        <f aca="false">B147*2*3.1415/60</f>
        <v>199.050675833333</v>
      </c>
      <c r="I147" s="1" t="n">
        <f aca="false">B147*SIGN(F147)</f>
        <v>1900.85</v>
      </c>
      <c r="J147" s="1" t="n">
        <f aca="false">H147*H147*SIGN(F147)*S$3*POWER(V$3,4)</f>
        <v>1321.84849856751</v>
      </c>
      <c r="K147" s="1" t="n">
        <f aca="false">F147*9.81</f>
        <v>14.1056679384</v>
      </c>
      <c r="L147" s="1" t="n">
        <f aca="false">J147*O$4</f>
        <v>11.9157019974747</v>
      </c>
      <c r="M147" s="1" t="n">
        <f aca="false">J147*P$4</f>
        <v>13.2184849856751</v>
      </c>
      <c r="N147" s="1" t="n">
        <f aca="false">IF(J147=0,0,K147/J147)</f>
        <v>0.0106711684082452</v>
      </c>
    </row>
    <row r="148" customFormat="false" ht="13.8" hidden="false" customHeight="false" outlineLevel="0" collapsed="false">
      <c r="A148" s="1" t="n">
        <v>1676</v>
      </c>
      <c r="B148" s="2" t="n">
        <v>1929.78</v>
      </c>
      <c r="C148" s="1" t="n">
        <v>3.3</v>
      </c>
      <c r="D148" s="1" t="n">
        <v>16</v>
      </c>
      <c r="E148" s="4" t="n">
        <f aca="false">C148*D148</f>
        <v>52.8</v>
      </c>
      <c r="F148" s="3" t="n">
        <v>1.48324584</v>
      </c>
      <c r="G148" s="4" t="n">
        <v>28.0917772727273</v>
      </c>
      <c r="H148" s="1" t="n">
        <f aca="false">B148*2*3.1415/60</f>
        <v>202.080129</v>
      </c>
      <c r="I148" s="1" t="n">
        <f aca="false">B148*SIGN(F148)</f>
        <v>1929.78</v>
      </c>
      <c r="J148" s="1" t="n">
        <f aca="false">H148*H148*SIGN(F148)*S$3*POWER(V$3,4)</f>
        <v>1362.39044794256</v>
      </c>
      <c r="K148" s="1" t="n">
        <f aca="false">F148*9.81</f>
        <v>14.5506416904</v>
      </c>
      <c r="L148" s="1" t="n">
        <f aca="false">J148*O$4</f>
        <v>12.2811642933985</v>
      </c>
      <c r="M148" s="1" t="n">
        <f aca="false">J148*P$4</f>
        <v>13.6239044794256</v>
      </c>
      <c r="N148" s="1" t="n">
        <f aca="false">IF(J148=0,0,K148/J148)</f>
        <v>0.0106802287937162</v>
      </c>
    </row>
    <row r="149" customFormat="false" ht="13.8" hidden="false" customHeight="false" outlineLevel="0" collapsed="false">
      <c r="A149" s="1" t="n">
        <v>1680</v>
      </c>
      <c r="B149" s="2" t="n">
        <v>1960.82</v>
      </c>
      <c r="C149" s="1" t="n">
        <v>3.5</v>
      </c>
      <c r="D149" s="1" t="n">
        <v>16</v>
      </c>
      <c r="E149" s="4" t="n">
        <f aca="false">C149*D149</f>
        <v>56</v>
      </c>
      <c r="F149" s="3" t="n">
        <v>1.53767688</v>
      </c>
      <c r="G149" s="4" t="n">
        <v>27.4585157142857</v>
      </c>
      <c r="H149" s="1" t="n">
        <f aca="false">B149*2*3.1415/60</f>
        <v>205.330534333333</v>
      </c>
      <c r="I149" s="1" t="n">
        <f aca="false">B149*SIGN(F149)</f>
        <v>1960.82</v>
      </c>
      <c r="J149" s="1" t="n">
        <f aca="false">H149*H149*SIGN(F149)*S$3*POWER(V$3,4)</f>
        <v>1406.57030260311</v>
      </c>
      <c r="K149" s="1" t="n">
        <f aca="false">F149*9.81</f>
        <v>15.0846101928</v>
      </c>
      <c r="L149" s="1" t="n">
        <f aca="false">J149*O$4</f>
        <v>12.6794202077467</v>
      </c>
      <c r="M149" s="1" t="n">
        <f aca="false">J149*P$4</f>
        <v>14.0657030260311</v>
      </c>
      <c r="N149" s="1" t="n">
        <f aca="false">IF(J149=0,0,K149/J149)</f>
        <v>0.0107243912123576</v>
      </c>
    </row>
    <row r="150" customFormat="false" ht="13.8" hidden="false" customHeight="false" outlineLevel="0" collapsed="false">
      <c r="A150" s="1" t="n">
        <v>1684</v>
      </c>
      <c r="B150" s="2" t="n">
        <v>1994.08</v>
      </c>
      <c r="C150" s="1" t="n">
        <v>3.7</v>
      </c>
      <c r="D150" s="1" t="n">
        <v>16</v>
      </c>
      <c r="E150" s="4" t="n">
        <f aca="false">C150*D150</f>
        <v>59.2</v>
      </c>
      <c r="F150" s="3" t="n">
        <v>1.587572</v>
      </c>
      <c r="G150" s="4" t="n">
        <v>26.8170945945946</v>
      </c>
      <c r="H150" s="1" t="n">
        <f aca="false">B150*2*3.1415/60</f>
        <v>208.813410666667</v>
      </c>
      <c r="I150" s="1" t="n">
        <f aca="false">B150*SIGN(F150)</f>
        <v>1994.08</v>
      </c>
      <c r="J150" s="1" t="n">
        <f aca="false">H150*H150*SIGN(F150)*S$3*POWER(V$3,4)</f>
        <v>1454.69231043692</v>
      </c>
      <c r="K150" s="1" t="n">
        <f aca="false">F150*9.81</f>
        <v>15.57408132</v>
      </c>
      <c r="L150" s="1" t="n">
        <f aca="false">J150*O$4</f>
        <v>13.1132123597892</v>
      </c>
      <c r="M150" s="1" t="n">
        <f aca="false">J150*P$4</f>
        <v>14.5469231043692</v>
      </c>
      <c r="N150" s="1" t="n">
        <f aca="false">IF(J150=0,0,K150/J150)</f>
        <v>0.0107060999829732</v>
      </c>
    </row>
    <row r="151" customFormat="false" ht="13.8" hidden="false" customHeight="false" outlineLevel="0" collapsed="false">
      <c r="A151" s="1" t="n">
        <v>1688</v>
      </c>
      <c r="B151" s="2" t="n">
        <v>2030.99</v>
      </c>
      <c r="C151" s="1" t="n">
        <v>3.9</v>
      </c>
      <c r="D151" s="1" t="n">
        <v>16</v>
      </c>
      <c r="E151" s="4" t="n">
        <f aca="false">C151*D151</f>
        <v>62.4</v>
      </c>
      <c r="F151" s="3" t="n">
        <v>1.65107488</v>
      </c>
      <c r="G151" s="4" t="n">
        <v>26.4595333333333</v>
      </c>
      <c r="H151" s="1" t="n">
        <f aca="false">B151*2*3.1415/60</f>
        <v>212.678502833333</v>
      </c>
      <c r="I151" s="1" t="n">
        <f aca="false">B151*SIGN(F151)</f>
        <v>2030.99</v>
      </c>
      <c r="J151" s="1" t="n">
        <f aca="false">H151*H151*SIGN(F151)*S$3*POWER(V$3,4)</f>
        <v>1509.04280127816</v>
      </c>
      <c r="K151" s="1" t="n">
        <f aca="false">F151*9.81</f>
        <v>16.1970445728</v>
      </c>
      <c r="L151" s="1" t="n">
        <f aca="false">J151*O$4</f>
        <v>13.6031506946154</v>
      </c>
      <c r="M151" s="1" t="n">
        <f aca="false">J151*P$4</f>
        <v>15.0904280127816</v>
      </c>
      <c r="N151" s="1" t="n">
        <f aca="false">IF(J151=0,0,K151/J151)</f>
        <v>0.0107333235075116</v>
      </c>
    </row>
    <row r="152" customFormat="false" ht="13.8" hidden="false" customHeight="false" outlineLevel="0" collapsed="false">
      <c r="A152" s="1" t="n">
        <v>1692</v>
      </c>
      <c r="B152" s="2" t="n">
        <v>2071.37</v>
      </c>
      <c r="C152" s="1" t="n">
        <v>4.1</v>
      </c>
      <c r="D152" s="1" t="n">
        <v>16</v>
      </c>
      <c r="E152" s="4" t="n">
        <f aca="false">C152*D152</f>
        <v>65.6</v>
      </c>
      <c r="F152" s="3" t="n">
        <v>1.69189816</v>
      </c>
      <c r="G152" s="4" t="n">
        <v>25.7911304878049</v>
      </c>
      <c r="H152" s="1" t="n">
        <f aca="false">B152*2*3.1415/60</f>
        <v>216.906961833333</v>
      </c>
      <c r="I152" s="1" t="n">
        <f aca="false">B152*SIGN(F152)</f>
        <v>2071.37</v>
      </c>
      <c r="J152" s="1" t="n">
        <f aca="false">H152*H152*SIGN(F152)*S$3*POWER(V$3,4)</f>
        <v>1569.64467768043</v>
      </c>
      <c r="K152" s="1" t="n">
        <f aca="false">F152*9.81</f>
        <v>16.5975209496</v>
      </c>
      <c r="L152" s="1" t="n">
        <f aca="false">J152*O$4</f>
        <v>14.1494416655397</v>
      </c>
      <c r="M152" s="1" t="n">
        <f aca="false">J152*P$4</f>
        <v>15.6964467768043</v>
      </c>
      <c r="N152" s="1" t="n">
        <f aca="false">IF(J152=0,0,K152/J152)</f>
        <v>0.0105740625159366</v>
      </c>
    </row>
    <row r="153" customFormat="false" ht="13.8" hidden="false" customHeight="false" outlineLevel="0" collapsed="false">
      <c r="A153" s="1" t="n">
        <v>1696</v>
      </c>
      <c r="B153" s="2" t="n">
        <v>2106.28</v>
      </c>
      <c r="C153" s="1" t="n">
        <v>4.3</v>
      </c>
      <c r="D153" s="1" t="n">
        <v>16</v>
      </c>
      <c r="E153" s="4" t="n">
        <f aca="false">C153*D153</f>
        <v>68.8</v>
      </c>
      <c r="F153" s="3" t="n">
        <v>1.75993696</v>
      </c>
      <c r="G153" s="4" t="n">
        <v>25.5804790697674</v>
      </c>
      <c r="H153" s="1" t="n">
        <f aca="false">B153*2*3.1415/60</f>
        <v>220.562620666667</v>
      </c>
      <c r="I153" s="1" t="n">
        <f aca="false">B153*SIGN(F153)</f>
        <v>2106.28</v>
      </c>
      <c r="J153" s="1" t="n">
        <f aca="false">H153*H153*SIGN(F153)*S$3*POWER(V$3,4)</f>
        <v>1622.99878879953</v>
      </c>
      <c r="K153" s="1" t="n">
        <f aca="false">F153*9.81</f>
        <v>17.2649815776</v>
      </c>
      <c r="L153" s="1" t="n">
        <f aca="false">J153*O$4</f>
        <v>14.630398211713</v>
      </c>
      <c r="M153" s="1" t="n">
        <f aca="false">J153*P$4</f>
        <v>16.2299878879953</v>
      </c>
      <c r="N153" s="1" t="n">
        <f aca="false">IF(J153=0,0,K153/J153)</f>
        <v>0.0106377045360399</v>
      </c>
    </row>
    <row r="154" customFormat="false" ht="13.8" hidden="false" customHeight="false" outlineLevel="0" collapsed="false">
      <c r="A154" s="1" t="n">
        <v>1700</v>
      </c>
      <c r="B154" s="2" t="n">
        <v>2128.7</v>
      </c>
      <c r="C154" s="1" t="n">
        <v>4.58</v>
      </c>
      <c r="D154" s="1" t="n">
        <v>16</v>
      </c>
      <c r="E154" s="4" t="n">
        <f aca="false">C154*D154</f>
        <v>73.28</v>
      </c>
      <c r="F154" s="3" t="n">
        <v>1.82343984</v>
      </c>
      <c r="G154" s="4" t="n">
        <v>24.8831855895197</v>
      </c>
      <c r="H154" s="1" t="n">
        <f aca="false">B154*2*3.1415/60</f>
        <v>222.910368333333</v>
      </c>
      <c r="I154" s="1" t="n">
        <f aca="false">B154*SIGN(F154)</f>
        <v>2128.7</v>
      </c>
      <c r="J154" s="1" t="n">
        <f aca="false">H154*H154*SIGN(F154)*S$3*POWER(V$3,4)</f>
        <v>1657.73424121267</v>
      </c>
      <c r="K154" s="1" t="n">
        <f aca="false">F154*9.81</f>
        <v>17.8879448304</v>
      </c>
      <c r="L154" s="1" t="n">
        <f aca="false">J154*O$4</f>
        <v>14.9435182857237</v>
      </c>
      <c r="M154" s="1" t="n">
        <f aca="false">J154*P$4</f>
        <v>16.5773424121267</v>
      </c>
      <c r="N154" s="1" t="n">
        <f aca="false">IF(J154=0,0,K154/J154)</f>
        <v>0.0107905986289543</v>
      </c>
    </row>
    <row r="155" customFormat="false" ht="13.8" hidden="false" customHeight="false" outlineLevel="0" collapsed="false">
      <c r="A155" s="1" t="n">
        <v>1704</v>
      </c>
      <c r="B155" s="2" t="n">
        <v>2160.39</v>
      </c>
      <c r="C155" s="1" t="n">
        <v>4.7</v>
      </c>
      <c r="D155" s="1" t="n">
        <v>16</v>
      </c>
      <c r="E155" s="4" t="n">
        <f aca="false">C155*D155</f>
        <v>75.2</v>
      </c>
      <c r="F155" s="3" t="n">
        <v>1.87787088</v>
      </c>
      <c r="G155" s="4" t="n">
        <v>24.9716872340426</v>
      </c>
      <c r="H155" s="1" t="n">
        <f aca="false">B155*2*3.1415/60</f>
        <v>226.2288395</v>
      </c>
      <c r="I155" s="1" t="n">
        <f aca="false">B155*SIGN(F155)</f>
        <v>2160.39</v>
      </c>
      <c r="J155" s="1" t="n">
        <f aca="false">H155*H155*SIGN(F155)*S$3*POWER(V$3,4)</f>
        <v>1707.4590802913</v>
      </c>
      <c r="K155" s="1" t="n">
        <f aca="false">F155*9.81</f>
        <v>18.4219133328</v>
      </c>
      <c r="L155" s="1" t="n">
        <f aca="false">J155*O$4</f>
        <v>15.3917590371982</v>
      </c>
      <c r="M155" s="1" t="n">
        <f aca="false">J155*P$4</f>
        <v>17.074590802913</v>
      </c>
      <c r="N155" s="1" t="n">
        <f aca="false">IF(J155=0,0,K155/J155)</f>
        <v>0.0107890804209827</v>
      </c>
    </row>
    <row r="156" customFormat="false" ht="13.8" hidden="false" customHeight="false" outlineLevel="0" collapsed="false">
      <c r="A156" s="1" t="n">
        <v>1708</v>
      </c>
      <c r="B156" s="2" t="n">
        <v>2189.6</v>
      </c>
      <c r="C156" s="1" t="n">
        <v>5</v>
      </c>
      <c r="D156" s="1" t="n">
        <v>16</v>
      </c>
      <c r="E156" s="4" t="n">
        <f aca="false">C156*D156</f>
        <v>80</v>
      </c>
      <c r="F156" s="3" t="n">
        <v>1.93230192</v>
      </c>
      <c r="G156" s="4" t="n">
        <v>24.153774</v>
      </c>
      <c r="H156" s="1" t="n">
        <f aca="false">B156*2*3.1415/60</f>
        <v>229.287613333333</v>
      </c>
      <c r="I156" s="1" t="n">
        <f aca="false">B156*SIGN(F156)</f>
        <v>2189.6</v>
      </c>
      <c r="J156" s="1" t="n">
        <f aca="false">H156*H156*SIGN(F156)*S$3*POWER(V$3,4)</f>
        <v>1753.94332762704</v>
      </c>
      <c r="K156" s="1" t="n">
        <f aca="false">F156*9.81</f>
        <v>18.9558818352</v>
      </c>
      <c r="L156" s="1" t="n">
        <f aca="false">J156*O$4</f>
        <v>15.810787722732</v>
      </c>
      <c r="M156" s="1" t="n">
        <f aca="false">J156*P$4</f>
        <v>17.5394332762704</v>
      </c>
      <c r="N156" s="1" t="n">
        <f aca="false">IF(J156=0,0,K156/J156)</f>
        <v>0.0108075794335077</v>
      </c>
    </row>
    <row r="157" customFormat="false" ht="13.8" hidden="false" customHeight="false" outlineLevel="0" collapsed="false">
      <c r="A157" s="1" t="n">
        <v>1712</v>
      </c>
      <c r="B157" s="2" t="n">
        <v>2219.18</v>
      </c>
      <c r="C157" s="1" t="n">
        <v>5.2</v>
      </c>
      <c r="D157" s="1" t="n">
        <v>16</v>
      </c>
      <c r="E157" s="4" t="n">
        <f aca="false">C157*D157</f>
        <v>83.2</v>
      </c>
      <c r="F157" s="3" t="n">
        <v>1.99126888</v>
      </c>
      <c r="G157" s="4" t="n">
        <v>23.9335201923077</v>
      </c>
      <c r="H157" s="1" t="n">
        <f aca="false">B157*2*3.1415/60</f>
        <v>232.385132333333</v>
      </c>
      <c r="I157" s="1" t="n">
        <f aca="false">B157*SIGN(F157)</f>
        <v>2219.18</v>
      </c>
      <c r="J157" s="1" t="n">
        <f aca="false">H157*H157*SIGN(F157)*S$3*POWER(V$3,4)</f>
        <v>1801.65257717983</v>
      </c>
      <c r="K157" s="1" t="n">
        <f aca="false">F157*9.81</f>
        <v>19.5343477128</v>
      </c>
      <c r="L157" s="1" t="n">
        <f aca="false">J157*O$4</f>
        <v>16.2408590968799</v>
      </c>
      <c r="M157" s="1" t="n">
        <f aca="false">J157*P$4</f>
        <v>18.0165257717983</v>
      </c>
      <c r="N157" s="1" t="n">
        <f aca="false">IF(J157=0,0,K157/J157)</f>
        <v>0.0108424609495897</v>
      </c>
    </row>
    <row r="158" customFormat="false" ht="13.8" hidden="false" customHeight="false" outlineLevel="0" collapsed="false">
      <c r="A158" s="1" t="n">
        <v>1716</v>
      </c>
      <c r="B158" s="2" t="n">
        <v>2243.76</v>
      </c>
      <c r="C158" s="1" t="n">
        <v>5.42</v>
      </c>
      <c r="D158" s="1" t="n">
        <v>16</v>
      </c>
      <c r="E158" s="4" t="n">
        <f aca="false">C158*D158</f>
        <v>86.72</v>
      </c>
      <c r="F158" s="3" t="n">
        <v>2.04569992</v>
      </c>
      <c r="G158" s="4" t="n">
        <v>23.589713099631</v>
      </c>
      <c r="H158" s="1" t="n">
        <f aca="false">B158*2*3.1415/60</f>
        <v>234.959068</v>
      </c>
      <c r="I158" s="1" t="n">
        <f aca="false">B158*SIGN(F158)</f>
        <v>2243.76</v>
      </c>
      <c r="J158" s="1" t="n">
        <f aca="false">H158*H158*SIGN(F158)*S$3*POWER(V$3,4)</f>
        <v>1841.78440261957</v>
      </c>
      <c r="K158" s="1" t="n">
        <f aca="false">F158*9.81</f>
        <v>20.0683162152</v>
      </c>
      <c r="L158" s="1" t="n">
        <f aca="false">J158*O$4</f>
        <v>16.6026243620164</v>
      </c>
      <c r="M158" s="1" t="n">
        <f aca="false">J158*P$4</f>
        <v>18.4178440261957</v>
      </c>
      <c r="N158" s="1" t="n">
        <f aca="false">IF(J158=0,0,K158/J158)</f>
        <v>0.0108961267055236</v>
      </c>
    </row>
    <row r="159" customFormat="false" ht="13.8" hidden="false" customHeight="false" outlineLevel="0" collapsed="false">
      <c r="A159" s="1" t="n">
        <v>1720</v>
      </c>
      <c r="B159" s="2" t="n">
        <v>2266.35</v>
      </c>
      <c r="C159" s="1" t="n">
        <v>5.69</v>
      </c>
      <c r="D159" s="1" t="n">
        <v>16</v>
      </c>
      <c r="E159" s="4" t="n">
        <f aca="false">C159*D159</f>
        <v>91.04</v>
      </c>
      <c r="F159" s="3" t="n">
        <v>2.12281056</v>
      </c>
      <c r="G159" s="4" t="n">
        <v>23.3173391915641</v>
      </c>
      <c r="H159" s="1" t="n">
        <f aca="false">B159*2*3.1415/60</f>
        <v>237.3246175</v>
      </c>
      <c r="I159" s="1" t="n">
        <f aca="false">B159*SIGN(F159)</f>
        <v>2266.35</v>
      </c>
      <c r="J159" s="1" t="n">
        <f aca="false">H159*H159*SIGN(F159)*S$3*POWER(V$3,4)</f>
        <v>1879.05697381753</v>
      </c>
      <c r="K159" s="1" t="n">
        <f aca="false">F159*9.81</f>
        <v>20.8247715936</v>
      </c>
      <c r="L159" s="1" t="n">
        <f aca="false">J159*O$4</f>
        <v>16.9386150988943</v>
      </c>
      <c r="M159" s="1" t="n">
        <f aca="false">J159*P$4</f>
        <v>18.7905697381753</v>
      </c>
      <c r="N159" s="1" t="n">
        <f aca="false">IF(J159=0,0,K159/J159)</f>
        <v>0.0110825652887427</v>
      </c>
    </row>
    <row r="160" customFormat="false" ht="13.8" hidden="false" customHeight="false" outlineLevel="0" collapsed="false">
      <c r="A160" s="1" t="n">
        <v>1724</v>
      </c>
      <c r="B160" s="2" t="n">
        <v>2305.35</v>
      </c>
      <c r="C160" s="1" t="n">
        <v>5.9</v>
      </c>
      <c r="D160" s="1" t="n">
        <v>16</v>
      </c>
      <c r="E160" s="4" t="n">
        <f aca="false">C160*D160</f>
        <v>94.4</v>
      </c>
      <c r="F160" s="3" t="n">
        <v>2.1772416</v>
      </c>
      <c r="G160" s="4" t="n">
        <v>23.064</v>
      </c>
      <c r="H160" s="1" t="n">
        <f aca="false">B160*2*3.1415/60</f>
        <v>241.4085675</v>
      </c>
      <c r="I160" s="1" t="n">
        <f aca="false">B160*SIGN(F160)</f>
        <v>2305.35</v>
      </c>
      <c r="J160" s="1" t="n">
        <f aca="false">H160*H160*SIGN(F160)*S$3*POWER(V$3,4)</f>
        <v>1944.28411112363</v>
      </c>
      <c r="K160" s="1" t="n">
        <f aca="false">F160*9.81</f>
        <v>21.358740096</v>
      </c>
      <c r="L160" s="1" t="n">
        <f aca="false">J160*O$4</f>
        <v>17.5266001298038</v>
      </c>
      <c r="M160" s="1" t="n">
        <f aca="false">J160*P$4</f>
        <v>19.4428411112363</v>
      </c>
      <c r="N160" s="1" t="n">
        <f aca="false">IF(J160=0,0,K160/J160)</f>
        <v>0.010985400731201</v>
      </c>
    </row>
    <row r="161" customFormat="false" ht="13.8" hidden="false" customHeight="false" outlineLevel="0" collapsed="false">
      <c r="A161" s="1" t="n">
        <v>1728</v>
      </c>
      <c r="B161" s="2" t="n">
        <v>2341.59</v>
      </c>
      <c r="C161" s="1" t="n">
        <v>6.19</v>
      </c>
      <c r="D161" s="1" t="n">
        <v>16</v>
      </c>
      <c r="E161" s="4" t="n">
        <f aca="false">C161*D161</f>
        <v>99.04</v>
      </c>
      <c r="F161" s="3" t="n">
        <v>2.21806488</v>
      </c>
      <c r="G161" s="4" t="n">
        <v>22.3956470113086</v>
      </c>
      <c r="H161" s="1" t="n">
        <f aca="false">B161*2*3.1415/60</f>
        <v>245.2034995</v>
      </c>
      <c r="I161" s="1" t="n">
        <f aca="false">B161*SIGN(F161)</f>
        <v>2341.59</v>
      </c>
      <c r="J161" s="1" t="n">
        <f aca="false">H161*H161*SIGN(F161)*S$3*POWER(V$3,4)</f>
        <v>2005.89269720209</v>
      </c>
      <c r="K161" s="1" t="n">
        <f aca="false">F161*9.81</f>
        <v>21.7592164728</v>
      </c>
      <c r="L161" s="1" t="n">
        <f aca="false">J161*O$4</f>
        <v>18.0819660079602</v>
      </c>
      <c r="M161" s="1" t="n">
        <f aca="false">J161*P$4</f>
        <v>20.0589269720209</v>
      </c>
      <c r="N161" s="1" t="n">
        <f aca="false">IF(J161=0,0,K161/J161)</f>
        <v>0.0108476472859943</v>
      </c>
    </row>
    <row r="162" customFormat="false" ht="13.8" hidden="false" customHeight="false" outlineLevel="0" collapsed="false">
      <c r="A162" s="1" t="n">
        <v>1732</v>
      </c>
      <c r="B162" s="2" t="n">
        <v>2391.8</v>
      </c>
      <c r="C162" s="1" t="n">
        <v>6.4</v>
      </c>
      <c r="D162" s="1" t="n">
        <v>16</v>
      </c>
      <c r="E162" s="4" t="n">
        <f aca="false">C162*D162</f>
        <v>102.4</v>
      </c>
      <c r="F162" s="3" t="n">
        <v>2.27703184</v>
      </c>
      <c r="G162" s="4" t="n">
        <v>22.2366390625</v>
      </c>
      <c r="H162" s="1" t="n">
        <f aca="false">B162*2*3.1415/60</f>
        <v>250.461323333333</v>
      </c>
      <c r="I162" s="1" t="n">
        <f aca="false">B162*SIGN(F162)</f>
        <v>2391.8</v>
      </c>
      <c r="J162" s="1" t="n">
        <f aca="false">H162*H162*SIGN(F162)*S$3*POWER(V$3,4)</f>
        <v>2092.83847523199</v>
      </c>
      <c r="K162" s="1" t="n">
        <f aca="false">F162*9.81</f>
        <v>22.3376823504</v>
      </c>
      <c r="L162" s="1" t="n">
        <f aca="false">J162*O$4</f>
        <v>18.8657320613813</v>
      </c>
      <c r="M162" s="1" t="n">
        <f aca="false">J162*P$4</f>
        <v>20.9283847523199</v>
      </c>
      <c r="N162" s="1" t="n">
        <f aca="false">IF(J162=0,0,K162/J162)</f>
        <v>0.0106733905242849</v>
      </c>
    </row>
    <row r="163" customFormat="false" ht="13.8" hidden="false" customHeight="false" outlineLevel="0" collapsed="false">
      <c r="A163" s="1" t="n">
        <v>1736</v>
      </c>
      <c r="B163" s="2" t="n">
        <v>2415.81</v>
      </c>
      <c r="C163" s="1" t="n">
        <v>6.7</v>
      </c>
      <c r="D163" s="1" t="n">
        <v>16</v>
      </c>
      <c r="E163" s="4" t="n">
        <f aca="false">C163*D163</f>
        <v>107.2</v>
      </c>
      <c r="F163" s="3" t="n">
        <v>2.381358</v>
      </c>
      <c r="G163" s="4" t="n">
        <v>22.2141604477612</v>
      </c>
      <c r="H163" s="1" t="n">
        <f aca="false">B163*2*3.1415/60</f>
        <v>252.9755705</v>
      </c>
      <c r="I163" s="1" t="n">
        <f aca="false">B163*SIGN(F163)</f>
        <v>2415.81</v>
      </c>
      <c r="J163" s="1" t="n">
        <f aca="false">H163*H163*SIGN(F163)*S$3*POWER(V$3,4)</f>
        <v>2135.0671427276</v>
      </c>
      <c r="K163" s="1" t="n">
        <f aca="false">F163*9.81</f>
        <v>23.36112198</v>
      </c>
      <c r="L163" s="1" t="n">
        <f aca="false">J163*O$4</f>
        <v>19.24639914855</v>
      </c>
      <c r="M163" s="1" t="n">
        <f aca="false">J163*P$4</f>
        <v>21.350671427276</v>
      </c>
      <c r="N163" s="1" t="n">
        <f aca="false">IF(J163=0,0,K163/J163)</f>
        <v>0.0109416334093155</v>
      </c>
    </row>
    <row r="164" customFormat="false" ht="13.8" hidden="false" customHeight="false" outlineLevel="0" collapsed="false">
      <c r="A164" s="1" t="n">
        <v>1740</v>
      </c>
      <c r="B164" s="2" t="n">
        <v>2445.98</v>
      </c>
      <c r="C164" s="1" t="n">
        <v>7</v>
      </c>
      <c r="D164" s="1" t="n">
        <v>16</v>
      </c>
      <c r="E164" s="4" t="n">
        <f aca="false">C164*D164</f>
        <v>112</v>
      </c>
      <c r="F164" s="3" t="n">
        <v>2.43125312</v>
      </c>
      <c r="G164" s="4" t="n">
        <v>21.7076171428571</v>
      </c>
      <c r="H164" s="1" t="n">
        <f aca="false">B164*2*3.1415/60</f>
        <v>256.134872333333</v>
      </c>
      <c r="I164" s="1" t="n">
        <f aca="false">B164*SIGN(F164)</f>
        <v>2445.98</v>
      </c>
      <c r="J164" s="1" t="n">
        <f aca="false">H164*H164*SIGN(F164)*S$3*POWER(V$3,4)</f>
        <v>2188.72798608757</v>
      </c>
      <c r="K164" s="1" t="n">
        <f aca="false">F164*9.81</f>
        <v>23.8505931072</v>
      </c>
      <c r="L164" s="1" t="n">
        <f aca="false">J164*O$4</f>
        <v>19.7301207090039</v>
      </c>
      <c r="M164" s="1" t="n">
        <f aca="false">J164*P$4</f>
        <v>21.8872798608757</v>
      </c>
      <c r="N164" s="1" t="n">
        <f aca="false">IF(J164=0,0,K164/J164)</f>
        <v>0.0108970110762068</v>
      </c>
    </row>
    <row r="165" customFormat="false" ht="13.8" hidden="false" customHeight="false" outlineLevel="0" collapsed="false">
      <c r="A165" s="1" t="n">
        <v>1744</v>
      </c>
      <c r="B165" s="2" t="n">
        <v>2475.13</v>
      </c>
      <c r="C165" s="1" t="n">
        <v>7.4</v>
      </c>
      <c r="D165" s="1" t="n">
        <v>16</v>
      </c>
      <c r="E165" s="4" t="n">
        <f aca="false">C165*D165</f>
        <v>118.4</v>
      </c>
      <c r="F165" s="3" t="n">
        <v>2.5174356</v>
      </c>
      <c r="G165" s="4" t="n">
        <v>21.262125</v>
      </c>
      <c r="H165" s="1" t="n">
        <f aca="false">B165*2*3.1415/60</f>
        <v>259.187363166667</v>
      </c>
      <c r="I165" s="1" t="n">
        <f aca="false">B165*SIGN(F165)</f>
        <v>2475.13</v>
      </c>
      <c r="J165" s="1" t="n">
        <f aca="false">H165*H165*SIGN(F165)*S$3*POWER(V$3,4)</f>
        <v>2241.20723607781</v>
      </c>
      <c r="K165" s="1" t="n">
        <f aca="false">F165*9.81</f>
        <v>24.696043236</v>
      </c>
      <c r="L165" s="1" t="n">
        <f aca="false">J165*O$4</f>
        <v>20.2031908865714</v>
      </c>
      <c r="M165" s="1" t="n">
        <f aca="false">J165*P$4</f>
        <v>22.4120723607781</v>
      </c>
      <c r="N165" s="1" t="n">
        <f aca="false">IF(J165=0,0,K165/J165)</f>
        <v>0.0110190806269298</v>
      </c>
    </row>
    <row r="166" customFormat="false" ht="13.8" hidden="false" customHeight="false" outlineLevel="0" collapsed="false">
      <c r="A166" s="1" t="n">
        <v>1748</v>
      </c>
      <c r="B166" s="2" t="n">
        <v>2497.91</v>
      </c>
      <c r="C166" s="1" t="n">
        <v>7.7</v>
      </c>
      <c r="D166" s="1" t="n">
        <v>16</v>
      </c>
      <c r="E166" s="4" t="n">
        <f aca="false">C166*D166</f>
        <v>123.2</v>
      </c>
      <c r="F166" s="3" t="n">
        <v>2.57640256</v>
      </c>
      <c r="G166" s="4" t="n">
        <v>20.9123584415584</v>
      </c>
      <c r="H166" s="1" t="n">
        <f aca="false">B166*2*3.1415/60</f>
        <v>261.572808833333</v>
      </c>
      <c r="I166" s="1" t="n">
        <f aca="false">B166*SIGN(F166)</f>
        <v>2497.91</v>
      </c>
      <c r="J166" s="1" t="n">
        <f aca="false">H166*H166*SIGN(F166)*S$3*POWER(V$3,4)</f>
        <v>2282.65123559469</v>
      </c>
      <c r="K166" s="1" t="n">
        <f aca="false">F166*9.81</f>
        <v>25.2745091136</v>
      </c>
      <c r="L166" s="1" t="n">
        <f aca="false">J166*O$4</f>
        <v>20.5767846443748</v>
      </c>
      <c r="M166" s="1" t="n">
        <f aca="false">J166*P$4</f>
        <v>22.8265123559469</v>
      </c>
      <c r="N166" s="1" t="n">
        <f aca="false">IF(J166=0,0,K166/J166)</f>
        <v>0.0110724357359022</v>
      </c>
    </row>
    <row r="167" customFormat="false" ht="13.8" hidden="false" customHeight="false" outlineLevel="0" collapsed="false">
      <c r="A167" s="1" t="n">
        <v>1752</v>
      </c>
      <c r="B167" s="2" t="n">
        <v>2537.88</v>
      </c>
      <c r="C167" s="1" t="n">
        <v>8.04</v>
      </c>
      <c r="D167" s="1" t="n">
        <v>16</v>
      </c>
      <c r="E167" s="4" t="n">
        <f aca="false">C167*D167</f>
        <v>128.64</v>
      </c>
      <c r="F167" s="3" t="n">
        <v>2.6535132</v>
      </c>
      <c r="G167" s="4" t="n">
        <v>20.6274347014925</v>
      </c>
      <c r="H167" s="1" t="n">
        <f aca="false">B167*2*3.1415/60</f>
        <v>265.758334</v>
      </c>
      <c r="I167" s="1" t="n">
        <f aca="false">B167*SIGN(F167)</f>
        <v>2537.88</v>
      </c>
      <c r="J167" s="1" t="n">
        <f aca="false">H167*H167*SIGN(F167)*S$3*POWER(V$3,4)</f>
        <v>2356.28682156039</v>
      </c>
      <c r="K167" s="1" t="n">
        <f aca="false">F167*9.81</f>
        <v>26.030964492</v>
      </c>
      <c r="L167" s="1" t="n">
        <f aca="false">J167*O$4</f>
        <v>21.2405669913892</v>
      </c>
      <c r="M167" s="1" t="n">
        <f aca="false">J167*P$4</f>
        <v>23.5628682156039</v>
      </c>
      <c r="N167" s="1" t="n">
        <f aca="false">IF(J167=0,0,K167/J167)</f>
        <v>0.0110474515469902</v>
      </c>
    </row>
    <row r="168" customFormat="false" ht="13.8" hidden="false" customHeight="false" outlineLevel="0" collapsed="false">
      <c r="A168" s="1" t="n">
        <v>1756</v>
      </c>
      <c r="B168" s="2" t="n">
        <v>2583.51</v>
      </c>
      <c r="C168" s="1" t="n">
        <v>8.4</v>
      </c>
      <c r="D168" s="1" t="n">
        <v>16</v>
      </c>
      <c r="E168" s="4" t="n">
        <f aca="false">C168*D168</f>
        <v>134.4</v>
      </c>
      <c r="F168" s="3" t="n">
        <v>2.73062384</v>
      </c>
      <c r="G168" s="4" t="n">
        <v>20.3171416666667</v>
      </c>
      <c r="H168" s="1" t="n">
        <f aca="false">B168*2*3.1415/60</f>
        <v>270.5365555</v>
      </c>
      <c r="I168" s="1" t="n">
        <f aca="false">B168*SIGN(F168)</f>
        <v>2583.51</v>
      </c>
      <c r="J168" s="1" t="n">
        <f aca="false">H168*H168*SIGN(F168)*S$3*POWER(V$3,4)</f>
        <v>2441.77859097043</v>
      </c>
      <c r="K168" s="1" t="n">
        <f aca="false">F168*9.81</f>
        <v>26.7874198704</v>
      </c>
      <c r="L168" s="1" t="n">
        <f aca="false">J168*O$4</f>
        <v>22.0112259955269</v>
      </c>
      <c r="M168" s="1" t="n">
        <f aca="false">J168*P$4</f>
        <v>24.4177859097043</v>
      </c>
      <c r="N168" s="1" t="n">
        <f aca="false">IF(J168=0,0,K168/J168)</f>
        <v>0.0109704540655154</v>
      </c>
    </row>
    <row r="169" customFormat="false" ht="13.8" hidden="false" customHeight="false" outlineLevel="0" collapsed="false">
      <c r="A169" s="1" t="n">
        <v>1760</v>
      </c>
      <c r="B169" s="2" t="n">
        <v>2608.66</v>
      </c>
      <c r="C169" s="1" t="n">
        <v>8.7</v>
      </c>
      <c r="D169" s="1" t="n">
        <v>16</v>
      </c>
      <c r="E169" s="4" t="n">
        <f aca="false">C169*D169</f>
        <v>139.2</v>
      </c>
      <c r="F169" s="3" t="n">
        <v>2.75783936</v>
      </c>
      <c r="G169" s="4" t="n">
        <v>19.8120643678161</v>
      </c>
      <c r="H169" s="1" t="n">
        <f aca="false">B169*2*3.1415/60</f>
        <v>273.170179666667</v>
      </c>
      <c r="I169" s="1" t="n">
        <f aca="false">B169*SIGN(F169)</f>
        <v>2608.66</v>
      </c>
      <c r="J169" s="1" t="n">
        <f aca="false">H169*H169*SIGN(F169)*S$3*POWER(V$3,4)</f>
        <v>2489.55053124901</v>
      </c>
      <c r="K169" s="1" t="n">
        <f aca="false">F169*9.81</f>
        <v>27.0544041216</v>
      </c>
      <c r="L169" s="1" t="n">
        <f aca="false">J169*O$4</f>
        <v>22.4418624904184</v>
      </c>
      <c r="M169" s="1" t="n">
        <f aca="false">J169*P$4</f>
        <v>24.8955053124901</v>
      </c>
      <c r="N169" s="1" t="n">
        <f aca="false">IF(J169=0,0,K169/J169)</f>
        <v>0.0108671841691949</v>
      </c>
    </row>
    <row r="170" customFormat="false" ht="13.8" hidden="false" customHeight="false" outlineLevel="0" collapsed="false">
      <c r="A170" s="1" t="n">
        <v>1764</v>
      </c>
      <c r="B170" s="2" t="n">
        <v>2639.26</v>
      </c>
      <c r="C170" s="1" t="n">
        <v>9.03</v>
      </c>
      <c r="D170" s="1" t="n">
        <v>16</v>
      </c>
      <c r="E170" s="4" t="n">
        <f aca="false">C170*D170</f>
        <v>144.48</v>
      </c>
      <c r="F170" s="3" t="n">
        <v>2.83948592</v>
      </c>
      <c r="G170" s="4" t="n">
        <v>19.6531417497231</v>
      </c>
      <c r="H170" s="1" t="n">
        <f aca="false">B170*2*3.1415/60</f>
        <v>276.374509666667</v>
      </c>
      <c r="I170" s="1" t="n">
        <f aca="false">B170*SIGN(F170)</f>
        <v>2639.26</v>
      </c>
      <c r="J170" s="1" t="n">
        <f aca="false">H170*H170*SIGN(F170)*S$3*POWER(V$3,4)</f>
        <v>2548.29873876308</v>
      </c>
      <c r="K170" s="1" t="n">
        <f aca="false">F170*9.81</f>
        <v>27.8553568752</v>
      </c>
      <c r="L170" s="1" t="n">
        <f aca="false">J170*O$4</f>
        <v>22.9714437051961</v>
      </c>
      <c r="M170" s="1" t="n">
        <f aca="false">J170*P$4</f>
        <v>25.4829873876308</v>
      </c>
      <c r="N170" s="1" t="n">
        <f aca="false">IF(J170=0,0,K170/J170)</f>
        <v>0.0109309620773586</v>
      </c>
    </row>
    <row r="171" customFormat="false" ht="13.8" hidden="false" customHeight="false" outlineLevel="0" collapsed="false">
      <c r="A171" s="1" t="n">
        <v>1768</v>
      </c>
      <c r="B171" s="2" t="n">
        <v>2663.25</v>
      </c>
      <c r="C171" s="1" t="n">
        <v>9.34</v>
      </c>
      <c r="D171" s="1" t="n">
        <v>16</v>
      </c>
      <c r="E171" s="4" t="n">
        <f aca="false">C171*D171</f>
        <v>149.44</v>
      </c>
      <c r="F171" s="3" t="n">
        <v>2.88938104</v>
      </c>
      <c r="G171" s="4" t="n">
        <v>19.3347232334047</v>
      </c>
      <c r="H171" s="1" t="n">
        <f aca="false">B171*2*3.1415/60</f>
        <v>278.8866625</v>
      </c>
      <c r="I171" s="1" t="n">
        <f aca="false">B171*SIGN(F171)</f>
        <v>2663.25</v>
      </c>
      <c r="J171" s="1" t="n">
        <f aca="false">H171*H171*SIGN(F171)*S$3*POWER(V$3,4)</f>
        <v>2594.83566898883</v>
      </c>
      <c r="K171" s="1" t="n">
        <f aca="false">F171*9.81</f>
        <v>28.3448280024</v>
      </c>
      <c r="L171" s="1" t="n">
        <f aca="false">J171*O$4</f>
        <v>23.3909472966048</v>
      </c>
      <c r="M171" s="1" t="n">
        <f aca="false">J171*P$4</f>
        <v>25.9483566898883</v>
      </c>
      <c r="N171" s="1" t="n">
        <f aca="false">IF(J171=0,0,K171/J171)</f>
        <v>0.0109235541738355</v>
      </c>
    </row>
    <row r="172" customFormat="false" ht="13.8" hidden="false" customHeight="false" outlineLevel="0" collapsed="false">
      <c r="A172" s="1" t="n">
        <v>1772</v>
      </c>
      <c r="B172" s="2" t="n">
        <v>2688.12</v>
      </c>
      <c r="C172" s="1" t="n">
        <v>9.69</v>
      </c>
      <c r="D172" s="1" t="n">
        <v>16</v>
      </c>
      <c r="E172" s="4" t="n">
        <f aca="false">C172*D172</f>
        <v>155.04</v>
      </c>
      <c r="F172" s="3" t="n">
        <v>2.97556352</v>
      </c>
      <c r="G172" s="4" t="n">
        <v>19.1922311661507</v>
      </c>
      <c r="H172" s="1" t="n">
        <f aca="false">B172*2*3.1415/60</f>
        <v>281.490966</v>
      </c>
      <c r="I172" s="1" t="n">
        <f aca="false">B172*SIGN(F172)</f>
        <v>2688.12</v>
      </c>
      <c r="J172" s="1" t="n">
        <f aca="false">H172*H172*SIGN(F172)*S$3*POWER(V$3,4)</f>
        <v>2643.52420909423</v>
      </c>
      <c r="K172" s="1" t="n">
        <f aca="false">F172*9.81</f>
        <v>29.1902781312</v>
      </c>
      <c r="L172" s="1" t="n">
        <f aca="false">J172*O$4</f>
        <v>23.8298464103964</v>
      </c>
      <c r="M172" s="1" t="n">
        <f aca="false">J172*P$4</f>
        <v>26.4352420909423</v>
      </c>
      <c r="N172" s="1" t="n">
        <f aca="false">IF(J172=0,0,K172/J172)</f>
        <v>0.0110421830187066</v>
      </c>
    </row>
    <row r="173" customFormat="false" ht="13.8" hidden="false" customHeight="false" outlineLevel="0" collapsed="false">
      <c r="A173" s="1" t="n">
        <v>1776</v>
      </c>
      <c r="B173" s="2" t="n">
        <v>2710.8</v>
      </c>
      <c r="C173" s="1" t="n">
        <v>10.01</v>
      </c>
      <c r="D173" s="1" t="n">
        <v>16</v>
      </c>
      <c r="E173" s="4" t="n">
        <f aca="false">C173*D173</f>
        <v>160.16</v>
      </c>
      <c r="F173" s="3" t="n">
        <v>3.05267416</v>
      </c>
      <c r="G173" s="4" t="n">
        <v>19.0601533466533</v>
      </c>
      <c r="H173" s="1" t="n">
        <f aca="false">B173*2*3.1415/60</f>
        <v>283.86594</v>
      </c>
      <c r="I173" s="1" t="n">
        <f aca="false">B173*SIGN(F173)</f>
        <v>2710.8</v>
      </c>
      <c r="J173" s="1" t="n">
        <f aca="false">H173*H173*SIGN(F173)*S$3*POWER(V$3,4)</f>
        <v>2688.31986812115</v>
      </c>
      <c r="K173" s="1" t="n">
        <f aca="false">F173*9.81</f>
        <v>29.9467335096</v>
      </c>
      <c r="L173" s="1" t="n">
        <f aca="false">J173*O$4</f>
        <v>24.2336534460164</v>
      </c>
      <c r="M173" s="1" t="n">
        <f aca="false">J173*P$4</f>
        <v>26.8831986812115</v>
      </c>
      <c r="N173" s="1" t="n">
        <f aca="false">IF(J173=0,0,K173/J173)</f>
        <v>0.0111395722900079</v>
      </c>
    </row>
    <row r="174" customFormat="false" ht="13.8" hidden="false" customHeight="false" outlineLevel="0" collapsed="false">
      <c r="A174" s="1" t="n">
        <v>1780</v>
      </c>
      <c r="B174" s="2" t="n">
        <v>2735.48</v>
      </c>
      <c r="C174" s="1" t="n">
        <v>10.4</v>
      </c>
      <c r="D174" s="1" t="n">
        <v>16</v>
      </c>
      <c r="E174" s="4" t="n">
        <f aca="false">C174*D174</f>
        <v>166.4</v>
      </c>
      <c r="F174" s="3" t="n">
        <v>3.1071052</v>
      </c>
      <c r="G174" s="4" t="n">
        <v>18.6725072115385</v>
      </c>
      <c r="H174" s="1" t="n">
        <f aca="false">B174*2*3.1415/60</f>
        <v>286.450347333333</v>
      </c>
      <c r="I174" s="1" t="n">
        <f aca="false">B174*SIGN(F174)</f>
        <v>2735.48</v>
      </c>
      <c r="J174" s="1" t="n">
        <f aca="false">H174*H174*SIGN(F174)*S$3*POWER(V$3,4)</f>
        <v>2737.49336669128</v>
      </c>
      <c r="K174" s="1" t="n">
        <f aca="false">F174*9.81</f>
        <v>30.480702012</v>
      </c>
      <c r="L174" s="1" t="n">
        <f aca="false">J174*O$4</f>
        <v>24.6769241807261</v>
      </c>
      <c r="M174" s="1" t="n">
        <f aca="false">J174*P$4</f>
        <v>27.3749336669128</v>
      </c>
      <c r="N174" s="1" t="n">
        <f aca="false">IF(J174=0,0,K174/J174)</f>
        <v>0.0111345299984566</v>
      </c>
    </row>
    <row r="175" customFormat="false" ht="13.8" hidden="false" customHeight="false" outlineLevel="0" collapsed="false">
      <c r="A175" s="1" t="n">
        <v>1784</v>
      </c>
      <c r="B175" s="2" t="n">
        <v>2765.9</v>
      </c>
      <c r="C175" s="1" t="n">
        <v>10.68</v>
      </c>
      <c r="D175" s="1" t="n">
        <v>16</v>
      </c>
      <c r="E175" s="4" t="n">
        <f aca="false">C175*D175</f>
        <v>170.88</v>
      </c>
      <c r="F175" s="3" t="n">
        <v>3.17060808</v>
      </c>
      <c r="G175" s="4" t="n">
        <v>18.5545884831461</v>
      </c>
      <c r="H175" s="1" t="n">
        <f aca="false">B175*2*3.1415/60</f>
        <v>289.635828333333</v>
      </c>
      <c r="I175" s="1" t="n">
        <f aca="false">B175*SIGN(F175)</f>
        <v>2765.9</v>
      </c>
      <c r="J175" s="1" t="n">
        <f aca="false">H175*H175*SIGN(F175)*S$3*POWER(V$3,4)</f>
        <v>2798.71668176746</v>
      </c>
      <c r="K175" s="1" t="n">
        <f aca="false">F175*9.81</f>
        <v>31.1036652648</v>
      </c>
      <c r="L175" s="1" t="n">
        <f aca="false">J175*O$4</f>
        <v>25.2288170629557</v>
      </c>
      <c r="M175" s="1" t="n">
        <f aca="false">J175*P$4</f>
        <v>27.9871668176746</v>
      </c>
      <c r="N175" s="1" t="n">
        <f aca="false">IF(J175=0,0,K175/J175)</f>
        <v>0.0111135455287161</v>
      </c>
    </row>
    <row r="176" customFormat="false" ht="13.8" hidden="false" customHeight="false" outlineLevel="0" collapsed="false">
      <c r="A176" s="1" t="n">
        <v>1788</v>
      </c>
      <c r="B176" s="2" t="n">
        <v>2809.4</v>
      </c>
      <c r="C176" s="1" t="n">
        <v>10.9</v>
      </c>
      <c r="D176" s="1" t="n">
        <v>16</v>
      </c>
      <c r="E176" s="4" t="n">
        <f aca="false">C176*D176</f>
        <v>174.4</v>
      </c>
      <c r="F176" s="3" t="n">
        <v>3.21596728</v>
      </c>
      <c r="G176" s="4" t="n">
        <v>18.4401793577982</v>
      </c>
      <c r="H176" s="1" t="n">
        <f aca="false">B176*2*3.1415/60</f>
        <v>294.191003333333</v>
      </c>
      <c r="I176" s="1" t="n">
        <f aca="false">B176*SIGN(F176)</f>
        <v>2809.4</v>
      </c>
      <c r="J176" s="1" t="n">
        <f aca="false">H176*H176*SIGN(F176)*S$3*POWER(V$3,4)</f>
        <v>2887.4411665161</v>
      </c>
      <c r="K176" s="1" t="n">
        <f aca="false">F176*9.81</f>
        <v>31.5486390168</v>
      </c>
      <c r="L176" s="1" t="n">
        <f aca="false">J176*O$4</f>
        <v>26.0286171317911</v>
      </c>
      <c r="M176" s="1" t="n">
        <f aca="false">J176*P$4</f>
        <v>28.874411665161</v>
      </c>
      <c r="N176" s="1" t="n">
        <f aca="false">IF(J176=0,0,K176/J176)</f>
        <v>0.0109261582132479</v>
      </c>
    </row>
    <row r="177" customFormat="false" ht="13.8" hidden="false" customHeight="false" outlineLevel="0" collapsed="false">
      <c r="A177" s="1" t="n">
        <v>1792</v>
      </c>
      <c r="B177" s="2" t="n">
        <v>2822.46</v>
      </c>
      <c r="C177" s="1" t="n">
        <v>11.3</v>
      </c>
      <c r="D177" s="1" t="n">
        <v>16</v>
      </c>
      <c r="E177" s="4" t="n">
        <f aca="false">C177*D177</f>
        <v>180.8</v>
      </c>
      <c r="F177" s="3" t="n">
        <v>3.30214976</v>
      </c>
      <c r="G177" s="4" t="n">
        <v>18.2641026548673</v>
      </c>
      <c r="H177" s="1" t="n">
        <f aca="false">B177*2*3.1415/60</f>
        <v>295.558603</v>
      </c>
      <c r="I177" s="1" t="n">
        <f aca="false">B177*SIGN(F177)</f>
        <v>2822.46</v>
      </c>
      <c r="J177" s="1" t="n">
        <f aca="false">H177*H177*SIGN(F177)*S$3*POWER(V$3,4)</f>
        <v>2914.34914148779</v>
      </c>
      <c r="K177" s="1" t="n">
        <f aca="false">F177*9.81</f>
        <v>32.3940891456</v>
      </c>
      <c r="L177" s="1" t="n">
        <f aca="false">J177*O$4</f>
        <v>26.2711770102231</v>
      </c>
      <c r="M177" s="1" t="n">
        <f aca="false">J177*P$4</f>
        <v>29.1434914148779</v>
      </c>
      <c r="N177" s="1" t="n">
        <f aca="false">IF(J177=0,0,K177/J177)</f>
        <v>0.0111153769067843</v>
      </c>
    </row>
    <row r="178" customFormat="false" ht="13.8" hidden="false" customHeight="false" outlineLevel="0" collapsed="false">
      <c r="A178" s="1" t="n">
        <v>1796</v>
      </c>
      <c r="B178" s="2" t="n">
        <v>2853.6</v>
      </c>
      <c r="C178" s="1" t="n">
        <v>11.64</v>
      </c>
      <c r="D178" s="1" t="n">
        <v>16</v>
      </c>
      <c r="E178" s="4" t="n">
        <f aca="false">C178*D178</f>
        <v>186.24</v>
      </c>
      <c r="F178" s="3" t="n">
        <v>3.37472448</v>
      </c>
      <c r="G178" s="4" t="n">
        <v>18.1202989690722</v>
      </c>
      <c r="H178" s="1" t="n">
        <f aca="false">B178*2*3.1415/60</f>
        <v>298.81948</v>
      </c>
      <c r="I178" s="1" t="n">
        <f aca="false">B178*SIGN(F178)</f>
        <v>2853.6</v>
      </c>
      <c r="J178" s="1" t="n">
        <f aca="false">H178*H178*SIGN(F178)*S$3*POWER(V$3,4)</f>
        <v>2979.01150483803</v>
      </c>
      <c r="K178" s="1" t="n">
        <f aca="false">F178*9.81</f>
        <v>33.1060471488</v>
      </c>
      <c r="L178" s="1" t="n">
        <f aca="false">J178*O$4</f>
        <v>26.854070929586</v>
      </c>
      <c r="M178" s="1" t="n">
        <f aca="false">J178*P$4</f>
        <v>29.7901150483803</v>
      </c>
      <c r="N178" s="1" t="n">
        <f aca="false">IF(J178=0,0,K178/J178)</f>
        <v>0.0111130981182968</v>
      </c>
    </row>
    <row r="179" customFormat="false" ht="13.8" hidden="false" customHeight="false" outlineLevel="0" collapsed="false">
      <c r="A179" s="1" t="n">
        <v>1800</v>
      </c>
      <c r="B179" s="2" t="n">
        <v>2888</v>
      </c>
      <c r="C179" s="1" t="n">
        <v>11.93</v>
      </c>
      <c r="D179" s="1" t="n">
        <v>16</v>
      </c>
      <c r="E179" s="4" t="n">
        <f aca="false">C179*D179</f>
        <v>190.88</v>
      </c>
      <c r="F179" s="3" t="n">
        <v>3.42008368</v>
      </c>
      <c r="G179" s="4" t="n">
        <v>17.9174543168483</v>
      </c>
      <c r="H179" s="1" t="n">
        <f aca="false">B179*2*3.1415/60</f>
        <v>302.421733333333</v>
      </c>
      <c r="I179" s="1" t="n">
        <f aca="false">B179*SIGN(F179)</f>
        <v>2888</v>
      </c>
      <c r="J179" s="1" t="n">
        <f aca="false">H179*H179*SIGN(F179)*S$3*POWER(V$3,4)</f>
        <v>3051.26807844922</v>
      </c>
      <c r="K179" s="1" t="n">
        <f aca="false">F179*9.81</f>
        <v>33.5510209008</v>
      </c>
      <c r="L179" s="1" t="n">
        <f aca="false">J179*O$4</f>
        <v>27.505422275404</v>
      </c>
      <c r="M179" s="1" t="n">
        <f aca="false">J179*P$4</f>
        <v>30.5126807844922</v>
      </c>
      <c r="N179" s="1" t="n">
        <f aca="false">IF(J179=0,0,K179/J179)</f>
        <v>0.0109957630854422</v>
      </c>
    </row>
    <row r="180" customFormat="false" ht="13.8" hidden="false" customHeight="false" outlineLevel="0" collapsed="false">
      <c r="A180" s="1" t="n">
        <v>1804</v>
      </c>
      <c r="B180" s="2" t="n">
        <v>2903.17</v>
      </c>
      <c r="C180" s="1" t="n">
        <v>12.38</v>
      </c>
      <c r="D180" s="1" t="n">
        <v>16</v>
      </c>
      <c r="E180" s="4" t="n">
        <f aca="false">C180*D180</f>
        <v>198.08</v>
      </c>
      <c r="F180" s="3" t="n">
        <v>3.51080208</v>
      </c>
      <c r="G180" s="4" t="n">
        <v>17.724162358643</v>
      </c>
      <c r="H180" s="1" t="n">
        <f aca="false">B180*2*3.1415/60</f>
        <v>304.010285166667</v>
      </c>
      <c r="I180" s="1" t="n">
        <f aca="false">B180*SIGN(F180)</f>
        <v>2903.17</v>
      </c>
      <c r="J180" s="1" t="n">
        <f aca="false">H180*H180*SIGN(F180)*S$3*POWER(V$3,4)</f>
        <v>3083.40748715385</v>
      </c>
      <c r="K180" s="1" t="n">
        <f aca="false">F180*9.81</f>
        <v>34.4409684048</v>
      </c>
      <c r="L180" s="1" t="n">
        <f aca="false">J180*O$4</f>
        <v>27.7951405123385</v>
      </c>
      <c r="M180" s="1" t="n">
        <f aca="false">J180*P$4</f>
        <v>30.8340748715385</v>
      </c>
      <c r="N180" s="1" t="n">
        <f aca="false">IF(J180=0,0,K180/J180)</f>
        <v>0.0111697751751232</v>
      </c>
    </row>
    <row r="181" customFormat="false" ht="13.8" hidden="false" customHeight="false" outlineLevel="0" collapsed="false">
      <c r="A181" s="1" t="n">
        <v>1808</v>
      </c>
      <c r="B181" s="2" t="n">
        <v>2933.63</v>
      </c>
      <c r="C181" s="1" t="n">
        <v>12.79</v>
      </c>
      <c r="D181" s="1" t="n">
        <v>16</v>
      </c>
      <c r="E181" s="4" t="n">
        <f aca="false">C181*D181</f>
        <v>204.64</v>
      </c>
      <c r="F181" s="3" t="n">
        <v>3.6060564</v>
      </c>
      <c r="G181" s="4" t="n">
        <v>17.6214640344019</v>
      </c>
      <c r="H181" s="1" t="n">
        <f aca="false">B181*2*3.1415/60</f>
        <v>307.199954833333</v>
      </c>
      <c r="I181" s="1" t="n">
        <f aca="false">B181*SIGN(F181)</f>
        <v>2933.63</v>
      </c>
      <c r="J181" s="1" t="n">
        <f aca="false">H181*H181*SIGN(F181)*S$3*POWER(V$3,4)</f>
        <v>3148.44900971018</v>
      </c>
      <c r="K181" s="1" t="n">
        <f aca="false">F181*9.81</f>
        <v>35.375413284</v>
      </c>
      <c r="L181" s="1" t="n">
        <f aca="false">J181*O$4</f>
        <v>28.3814523333098</v>
      </c>
      <c r="M181" s="1" t="n">
        <f aca="false">J181*P$4</f>
        <v>31.4844900971018</v>
      </c>
      <c r="N181" s="1" t="n">
        <f aca="false">IF(J181=0,0,K181/J181)</f>
        <v>0.0112358222016295</v>
      </c>
    </row>
    <row r="182" customFormat="false" ht="13.8" hidden="false" customHeight="false" outlineLevel="0" collapsed="false">
      <c r="A182" s="1" t="n">
        <v>1812</v>
      </c>
      <c r="B182" s="2" t="n">
        <v>2973.17</v>
      </c>
      <c r="C182" s="1" t="n">
        <v>13.14</v>
      </c>
      <c r="D182" s="1" t="n">
        <v>16</v>
      </c>
      <c r="E182" s="4" t="n">
        <f aca="false">C182*D182</f>
        <v>210.24</v>
      </c>
      <c r="F182" s="3" t="n">
        <v>3.68316704</v>
      </c>
      <c r="G182" s="4" t="n">
        <v>17.5188691019787</v>
      </c>
      <c r="H182" s="1" t="n">
        <f aca="false">B182*2*3.1415/60</f>
        <v>311.340451833333</v>
      </c>
      <c r="I182" s="1" t="n">
        <f aca="false">B182*SIGN(F182)</f>
        <v>2973.17</v>
      </c>
      <c r="J182" s="1" t="n">
        <f aca="false">H182*H182*SIGN(F182)*S$3*POWER(V$3,4)</f>
        <v>3233.89170091832</v>
      </c>
      <c r="K182" s="1" t="n">
        <f aca="false">F182*9.81</f>
        <v>36.1318686624</v>
      </c>
      <c r="L182" s="1" t="n">
        <f aca="false">J182*O$4</f>
        <v>29.1516689257572</v>
      </c>
      <c r="M182" s="1" t="n">
        <f aca="false">J182*P$4</f>
        <v>32.3389170091832</v>
      </c>
      <c r="N182" s="1" t="n">
        <f aca="false">IF(J182=0,0,K182/J182)</f>
        <v>0.0111728752858792</v>
      </c>
    </row>
    <row r="183" customFormat="false" ht="13.8" hidden="false" customHeight="false" outlineLevel="0" collapsed="false">
      <c r="A183" s="1" t="n">
        <v>1816</v>
      </c>
      <c r="B183" s="2" t="n">
        <v>3001.72</v>
      </c>
      <c r="C183" s="1" t="n">
        <v>13.54</v>
      </c>
      <c r="D183" s="1" t="n">
        <v>16</v>
      </c>
      <c r="E183" s="4" t="n">
        <f aca="false">C183*D183</f>
        <v>216.64</v>
      </c>
      <c r="F183" s="3" t="n">
        <v>3.73759808</v>
      </c>
      <c r="G183" s="4" t="n">
        <v>17.252576070901</v>
      </c>
      <c r="H183" s="1" t="n">
        <f aca="false">B183*2*3.1415/60</f>
        <v>314.330112666667</v>
      </c>
      <c r="I183" s="1" t="n">
        <f aca="false">B183*SIGN(F183)</f>
        <v>3001.72</v>
      </c>
      <c r="J183" s="1" t="n">
        <f aca="false">H183*H183*SIGN(F183)*S$3*POWER(V$3,4)</f>
        <v>3296.29707840208</v>
      </c>
      <c r="K183" s="1" t="n">
        <f aca="false">F183*9.81</f>
        <v>36.6658371648</v>
      </c>
      <c r="L183" s="1" t="n">
        <f aca="false">J183*O$4</f>
        <v>29.7142174189789</v>
      </c>
      <c r="M183" s="1" t="n">
        <f aca="false">J183*P$4</f>
        <v>32.9629707840208</v>
      </c>
      <c r="N183" s="1" t="n">
        <f aca="false">IF(J183=0,0,K183/J183)</f>
        <v>0.0111233412197708</v>
      </c>
    </row>
    <row r="184" customFormat="false" ht="13.8" hidden="false" customHeight="false" outlineLevel="0" collapsed="false">
      <c r="A184" s="1" t="n">
        <v>1820</v>
      </c>
      <c r="B184" s="2" t="n">
        <v>3041.86</v>
      </c>
      <c r="C184" s="1" t="n">
        <v>13.99</v>
      </c>
      <c r="D184" s="1" t="n">
        <v>16</v>
      </c>
      <c r="E184" s="4" t="n">
        <f aca="false">C184*D184</f>
        <v>223.84</v>
      </c>
      <c r="F184" s="3" t="n">
        <v>3.81924464</v>
      </c>
      <c r="G184" s="4" t="n">
        <v>17.0623867047891</v>
      </c>
      <c r="H184" s="1" t="n">
        <f aca="false">B184*2*3.1415/60</f>
        <v>318.533439666667</v>
      </c>
      <c r="I184" s="1" t="n">
        <f aca="false">B184*SIGN(F184)</f>
        <v>3041.86</v>
      </c>
      <c r="J184" s="1" t="n">
        <f aca="false">H184*H184*SIGN(F184)*S$3*POWER(V$3,4)</f>
        <v>3385.04488561045</v>
      </c>
      <c r="K184" s="1" t="n">
        <f aca="false">F184*9.81</f>
        <v>37.4667899184</v>
      </c>
      <c r="L184" s="1" t="n">
        <f aca="false">J184*O$4</f>
        <v>30.5142277263403</v>
      </c>
      <c r="M184" s="1" t="n">
        <f aca="false">J184*P$4</f>
        <v>33.8504488561045</v>
      </c>
      <c r="N184" s="1" t="n">
        <f aca="false">IF(J184=0,0,K184/J184)</f>
        <v>0.0110683288359538</v>
      </c>
    </row>
    <row r="185" customFormat="false" ht="13.8" hidden="false" customHeight="false" outlineLevel="0" collapsed="false">
      <c r="A185" s="1" t="n">
        <v>1824</v>
      </c>
      <c r="B185" s="2" t="n">
        <v>3065.09</v>
      </c>
      <c r="C185" s="1" t="n">
        <v>14.46</v>
      </c>
      <c r="D185" s="1" t="n">
        <v>16</v>
      </c>
      <c r="E185" s="4" t="n">
        <f aca="false">C185*D185</f>
        <v>231.36</v>
      </c>
      <c r="F185" s="3" t="n">
        <v>3.88728344</v>
      </c>
      <c r="G185" s="4" t="n">
        <v>16.8018820885201</v>
      </c>
      <c r="H185" s="1" t="n">
        <f aca="false">B185*2*3.1415/60</f>
        <v>320.966007833333</v>
      </c>
      <c r="I185" s="1" t="n">
        <f aca="false">B185*SIGN(F185)</f>
        <v>3065.09</v>
      </c>
      <c r="J185" s="1" t="n">
        <f aca="false">H185*H185*SIGN(F185)*S$3*POWER(V$3,4)</f>
        <v>3436.94395396556</v>
      </c>
      <c r="K185" s="1" t="n">
        <f aca="false">F185*9.81</f>
        <v>38.1342505464</v>
      </c>
      <c r="L185" s="1" t="n">
        <f aca="false">J185*O$4</f>
        <v>30.9820679010171</v>
      </c>
      <c r="M185" s="1" t="n">
        <f aca="false">J185*P$4</f>
        <v>34.3694395396556</v>
      </c>
      <c r="N185" s="1" t="n">
        <f aca="false">IF(J185=0,0,K185/J185)</f>
        <v>0.0110953949372379</v>
      </c>
    </row>
    <row r="186" customFormat="false" ht="13.8" hidden="false" customHeight="false" outlineLevel="0" collapsed="false">
      <c r="A186" s="1" t="n">
        <v>1828</v>
      </c>
      <c r="B186" s="2" t="n">
        <v>3107.61</v>
      </c>
      <c r="C186" s="1" t="n">
        <v>14.86</v>
      </c>
      <c r="D186" s="1" t="n">
        <v>16</v>
      </c>
      <c r="E186" s="4" t="n">
        <f aca="false">C186*D186</f>
        <v>237.76</v>
      </c>
      <c r="F186" s="3" t="n">
        <v>3.95532224</v>
      </c>
      <c r="G186" s="4" t="n">
        <v>16.6357765814267</v>
      </c>
      <c r="H186" s="1" t="n">
        <f aca="false">B186*2*3.1415/60</f>
        <v>325.4185605</v>
      </c>
      <c r="I186" s="1" t="n">
        <f aca="false">B186*SIGN(F186)</f>
        <v>3107.61</v>
      </c>
      <c r="J186" s="1" t="n">
        <f aca="false">H186*H186*SIGN(F186)*S$3*POWER(V$3,4)</f>
        <v>3532.96234271007</v>
      </c>
      <c r="K186" s="1" t="n">
        <f aca="false">F186*9.81</f>
        <v>38.8017111744</v>
      </c>
      <c r="L186" s="1" t="n">
        <f aca="false">J186*O$4</f>
        <v>31.8476183084936</v>
      </c>
      <c r="M186" s="1" t="n">
        <f aca="false">J186*P$4</f>
        <v>35.3296234271008</v>
      </c>
      <c r="N186" s="1" t="n">
        <f aca="false">IF(J186=0,0,K186/J186)</f>
        <v>0.010982769531768</v>
      </c>
    </row>
    <row r="187" customFormat="false" ht="13.8" hidden="false" customHeight="false" outlineLevel="0" collapsed="false">
      <c r="A187" s="1" t="n">
        <v>1832</v>
      </c>
      <c r="B187" s="2" t="n">
        <v>3124.51</v>
      </c>
      <c r="C187" s="1" t="n">
        <v>15.4</v>
      </c>
      <c r="D187" s="1" t="n">
        <v>16</v>
      </c>
      <c r="E187" s="4" t="n">
        <f aca="false">C187*D187</f>
        <v>246.4</v>
      </c>
      <c r="F187" s="3" t="n">
        <v>4.0596484</v>
      </c>
      <c r="G187" s="4" t="n">
        <v>16.4758457792208</v>
      </c>
      <c r="H187" s="1" t="n">
        <f aca="false">B187*2*3.1415/60</f>
        <v>327.188272166667</v>
      </c>
      <c r="I187" s="1" t="n">
        <f aca="false">B187*SIGN(F187)</f>
        <v>3124.51</v>
      </c>
      <c r="J187" s="1" t="n">
        <f aca="false">H187*H187*SIGN(F187)*S$3*POWER(V$3,4)</f>
        <v>3571.49318470412</v>
      </c>
      <c r="K187" s="1" t="n">
        <f aca="false">F187*9.81</f>
        <v>39.825150804</v>
      </c>
      <c r="L187" s="1" t="n">
        <f aca="false">J187*O$4</f>
        <v>32.1949516310418</v>
      </c>
      <c r="M187" s="1" t="n">
        <f aca="false">J187*P$4</f>
        <v>35.7149318470412</v>
      </c>
      <c r="N187" s="1" t="n">
        <f aca="false">IF(J187=0,0,K187/J187)</f>
        <v>0.0111508404872679</v>
      </c>
    </row>
    <row r="188" customFormat="false" ht="13.8" hidden="false" customHeight="false" outlineLevel="0" collapsed="false">
      <c r="A188" s="1" t="n">
        <v>1836</v>
      </c>
      <c r="B188" s="2" t="n">
        <v>3153.38</v>
      </c>
      <c r="C188" s="1" t="n">
        <v>15.86</v>
      </c>
      <c r="D188" s="1" t="n">
        <v>16</v>
      </c>
      <c r="E188" s="4" t="n">
        <f aca="false">C188*D188</f>
        <v>253.76</v>
      </c>
      <c r="F188" s="3" t="n">
        <v>4.14583088</v>
      </c>
      <c r="G188" s="4" t="n">
        <v>16.33760592686</v>
      </c>
      <c r="H188" s="1" t="n">
        <f aca="false">B188*2*3.1415/60</f>
        <v>330.211442333333</v>
      </c>
      <c r="I188" s="1" t="n">
        <f aca="false">B188*SIGN(F188)</f>
        <v>3153.38</v>
      </c>
      <c r="J188" s="1" t="n">
        <f aca="false">H188*H188*SIGN(F188)*S$3*POWER(V$3,4)</f>
        <v>3637.79821433493</v>
      </c>
      <c r="K188" s="1" t="n">
        <f aca="false">F188*9.81</f>
        <v>40.6706009328</v>
      </c>
      <c r="L188" s="1" t="n">
        <f aca="false">J188*O$4</f>
        <v>32.7926532397138</v>
      </c>
      <c r="M188" s="1" t="n">
        <f aca="false">J188*P$4</f>
        <v>36.3779821433493</v>
      </c>
      <c r="N188" s="1" t="n">
        <f aca="false">IF(J188=0,0,K188/J188)</f>
        <v>0.0111800046447149</v>
      </c>
    </row>
    <row r="189" customFormat="false" ht="13.8" hidden="false" customHeight="false" outlineLevel="0" collapsed="false">
      <c r="A189" s="1" t="n">
        <v>1840</v>
      </c>
      <c r="B189" s="2" t="n">
        <v>3180.33</v>
      </c>
      <c r="C189" s="1" t="n">
        <v>16.41</v>
      </c>
      <c r="D189" s="1" t="n">
        <v>16</v>
      </c>
      <c r="E189" s="4" t="n">
        <f aca="false">C189*D189</f>
        <v>262.56</v>
      </c>
      <c r="F189" s="3" t="n">
        <v>4.25469296</v>
      </c>
      <c r="G189" s="4" t="n">
        <v>16.2046502132846</v>
      </c>
      <c r="H189" s="1" t="n">
        <f aca="false">B189*2*3.1415/60</f>
        <v>333.0335565</v>
      </c>
      <c r="I189" s="1" t="n">
        <f aca="false">B189*SIGN(F189)</f>
        <v>3180.33</v>
      </c>
      <c r="J189" s="1" t="n">
        <f aca="false">H189*H189*SIGN(F189)*S$3*POWER(V$3,4)</f>
        <v>3700.24397092516</v>
      </c>
      <c r="K189" s="1" t="n">
        <f aca="false">F189*9.81</f>
        <v>41.7385379376</v>
      </c>
      <c r="L189" s="1" t="n">
        <f aca="false">J189*O$4</f>
        <v>33.3555657272964</v>
      </c>
      <c r="M189" s="1" t="n">
        <f aca="false">J189*P$4</f>
        <v>37.0024397092516</v>
      </c>
      <c r="N189" s="1" t="n">
        <f aca="false">IF(J189=0,0,K189/J189)</f>
        <v>0.0112799421512642</v>
      </c>
    </row>
    <row r="190" customFormat="false" ht="13.8" hidden="false" customHeight="false" outlineLevel="0" collapsed="false">
      <c r="A190" s="1" t="n">
        <v>1844</v>
      </c>
      <c r="B190" s="2" t="n">
        <v>3204.34</v>
      </c>
      <c r="C190" s="1" t="n">
        <v>16.97</v>
      </c>
      <c r="D190" s="1" t="n">
        <v>16</v>
      </c>
      <c r="E190" s="4" t="n">
        <f aca="false">C190*D190</f>
        <v>271.52</v>
      </c>
      <c r="F190" s="3" t="n">
        <v>4.30458808</v>
      </c>
      <c r="G190" s="4" t="n">
        <v>15.8536685327048</v>
      </c>
      <c r="H190" s="1" t="n">
        <f aca="false">B190*2*3.1415/60</f>
        <v>335.547803666667</v>
      </c>
      <c r="I190" s="1" t="n">
        <f aca="false">B190*SIGN(F190)</f>
        <v>3204.34</v>
      </c>
      <c r="J190" s="1" t="n">
        <f aca="false">H190*H190*SIGN(F190)*S$3*POWER(V$3,4)</f>
        <v>3756.32508118559</v>
      </c>
      <c r="K190" s="1" t="n">
        <f aca="false">F190*9.81</f>
        <v>42.2280090648</v>
      </c>
      <c r="L190" s="1" t="n">
        <f aca="false">J190*O$4</f>
        <v>33.8611045982601</v>
      </c>
      <c r="M190" s="1" t="n">
        <f aca="false">J190*P$4</f>
        <v>37.5632508118559</v>
      </c>
      <c r="N190" s="1" t="n">
        <f aca="false">IF(J190=0,0,K190/J190)</f>
        <v>0.011241840935522</v>
      </c>
    </row>
    <row r="191" customFormat="false" ht="13.8" hidden="false" customHeight="false" outlineLevel="0" collapsed="false">
      <c r="A191" s="1" t="n">
        <v>1848</v>
      </c>
      <c r="B191" s="2" t="n">
        <v>3242.32</v>
      </c>
      <c r="C191" s="1" t="n">
        <v>17.42</v>
      </c>
      <c r="D191" s="1" t="n">
        <v>16</v>
      </c>
      <c r="E191" s="4" t="n">
        <f aca="false">C191*D191</f>
        <v>278.72</v>
      </c>
      <c r="F191" s="3" t="n">
        <v>4.38169872</v>
      </c>
      <c r="G191" s="4" t="n">
        <v>15.7207904707233</v>
      </c>
      <c r="H191" s="1" t="n">
        <f aca="false">B191*2*3.1415/60</f>
        <v>339.524942666667</v>
      </c>
      <c r="I191" s="1" t="n">
        <f aca="false">B191*SIGN(F191)</f>
        <v>3242.32</v>
      </c>
      <c r="J191" s="1" t="n">
        <f aca="false">H191*H191*SIGN(F191)*S$3*POWER(V$3,4)</f>
        <v>3845.89779123016</v>
      </c>
      <c r="K191" s="1" t="n">
        <f aca="false">F191*9.81</f>
        <v>42.9844644432</v>
      </c>
      <c r="L191" s="1" t="n">
        <f aca="false">J191*O$4</f>
        <v>34.6685509290264</v>
      </c>
      <c r="M191" s="1" t="n">
        <f aca="false">J191*P$4</f>
        <v>38.4589779123016</v>
      </c>
      <c r="N191" s="1" t="n">
        <f aca="false">IF(J191=0,0,K191/J191)</f>
        <v>0.011176704836311</v>
      </c>
    </row>
    <row r="192" customFormat="false" ht="13.8" hidden="false" customHeight="false" outlineLevel="0" collapsed="false">
      <c r="A192" s="1" t="n">
        <v>1852</v>
      </c>
      <c r="B192" s="2" t="n">
        <v>3260.1</v>
      </c>
      <c r="C192" s="1" t="n">
        <v>18</v>
      </c>
      <c r="D192" s="1" t="n">
        <v>16</v>
      </c>
      <c r="E192" s="4" t="n">
        <f aca="false">C192*D192</f>
        <v>288</v>
      </c>
      <c r="F192" s="3" t="n">
        <v>4.50870448</v>
      </c>
      <c r="G192" s="4" t="n">
        <v>15.6552238888889</v>
      </c>
      <c r="H192" s="1" t="n">
        <f aca="false">B192*2*3.1415/60</f>
        <v>341.386805</v>
      </c>
      <c r="I192" s="1" t="n">
        <f aca="false">B192*SIGN(F192)</f>
        <v>3260.1</v>
      </c>
      <c r="J192" s="1" t="n">
        <f aca="false">H192*H192*SIGN(F192)*S$3*POWER(V$3,4)</f>
        <v>3888.19315476625</v>
      </c>
      <c r="K192" s="1" t="n">
        <f aca="false">F192*9.81</f>
        <v>44.2303909488</v>
      </c>
      <c r="L192" s="1" t="n">
        <f aca="false">J192*O$4</f>
        <v>35.0498192425412</v>
      </c>
      <c r="M192" s="1" t="n">
        <f aca="false">J192*P$4</f>
        <v>38.8819315476625</v>
      </c>
      <c r="N192" s="1" t="n">
        <f aca="false">IF(J192=0,0,K192/J192)</f>
        <v>0.0113755642243702</v>
      </c>
    </row>
    <row r="193" customFormat="false" ht="13.8" hidden="false" customHeight="false" outlineLevel="0" collapsed="false">
      <c r="A193" s="1" t="n">
        <v>1856</v>
      </c>
      <c r="B193" s="2" t="n">
        <v>3299.33</v>
      </c>
      <c r="C193" s="1" t="n">
        <v>18.5</v>
      </c>
      <c r="D193" s="1" t="n">
        <v>16</v>
      </c>
      <c r="E193" s="4" t="n">
        <f aca="false">C193*D193</f>
        <v>296</v>
      </c>
      <c r="F193" s="3" t="n">
        <v>4.52684816</v>
      </c>
      <c r="G193" s="4" t="n">
        <v>15.2934059459459</v>
      </c>
      <c r="H193" s="1" t="n">
        <f aca="false">B193*2*3.1415/60</f>
        <v>345.494839833333</v>
      </c>
      <c r="I193" s="1" t="n">
        <f aca="false">B193*SIGN(F193)</f>
        <v>3299.33</v>
      </c>
      <c r="J193" s="1" t="n">
        <f aca="false">H193*H193*SIGN(F193)*S$3*POWER(V$3,4)</f>
        <v>3982.33233186988</v>
      </c>
      <c r="K193" s="1" t="n">
        <f aca="false">F193*9.81</f>
        <v>44.4083804496</v>
      </c>
      <c r="L193" s="1" t="n">
        <f aca="false">J193*O$4</f>
        <v>35.8984296406844</v>
      </c>
      <c r="M193" s="1" t="n">
        <f aca="false">J193*P$4</f>
        <v>39.8233233186988</v>
      </c>
      <c r="N193" s="1" t="n">
        <f aca="false">IF(J193=0,0,K193/J193)</f>
        <v>0.0111513496988204</v>
      </c>
    </row>
    <row r="194" customFormat="false" ht="13.8" hidden="false" customHeight="false" outlineLevel="0" collapsed="false">
      <c r="A194" s="1" t="n">
        <v>1860</v>
      </c>
      <c r="B194" s="2" t="n">
        <v>3307.84</v>
      </c>
      <c r="C194" s="1" t="n">
        <v>19.13</v>
      </c>
      <c r="D194" s="1" t="n">
        <v>16</v>
      </c>
      <c r="E194" s="4" t="n">
        <f aca="false">C194*D194</f>
        <v>306.08</v>
      </c>
      <c r="F194" s="3" t="n">
        <v>4.649318</v>
      </c>
      <c r="G194" s="4" t="n">
        <v>15.1898784631469</v>
      </c>
      <c r="H194" s="1" t="n">
        <f aca="false">B194*2*3.1415/60</f>
        <v>346.385978666667</v>
      </c>
      <c r="I194" s="1" t="n">
        <f aca="false">B194*SIGN(F194)</f>
        <v>3307.84</v>
      </c>
      <c r="J194" s="1" t="n">
        <f aca="false">H194*H194*SIGN(F194)*S$3*POWER(V$3,4)</f>
        <v>4002.90217733837</v>
      </c>
      <c r="K194" s="1" t="n">
        <f aca="false">F194*9.81</f>
        <v>45.60980958</v>
      </c>
      <c r="L194" s="1" t="n">
        <f aca="false">J194*O$4</f>
        <v>36.0838549363989</v>
      </c>
      <c r="M194" s="1" t="n">
        <f aca="false">J194*P$4</f>
        <v>40.0290217733837</v>
      </c>
      <c r="N194" s="1" t="n">
        <f aca="false">IF(J194=0,0,K194/J194)</f>
        <v>0.0113941854083297</v>
      </c>
    </row>
    <row r="195" customFormat="false" ht="13.8" hidden="false" customHeight="false" outlineLevel="0" collapsed="false">
      <c r="A195" s="1" t="n">
        <v>1864</v>
      </c>
      <c r="B195" s="2" t="n">
        <v>3351.13</v>
      </c>
      <c r="C195" s="1" t="n">
        <v>19.59</v>
      </c>
      <c r="D195" s="1" t="n">
        <v>16</v>
      </c>
      <c r="E195" s="4" t="n">
        <f aca="false">C195*D195</f>
        <v>313.44</v>
      </c>
      <c r="F195" s="3" t="n">
        <v>4.70828496</v>
      </c>
      <c r="G195" s="4" t="n">
        <v>15.0213277182236</v>
      </c>
      <c r="H195" s="1" t="n">
        <f aca="false">B195*2*3.1415/60</f>
        <v>350.919163166667</v>
      </c>
      <c r="I195" s="1" t="n">
        <f aca="false">B195*SIGN(F195)</f>
        <v>3351.13</v>
      </c>
      <c r="J195" s="1" t="n">
        <f aca="false">H195*H195*SIGN(F195)*S$3*POWER(V$3,4)</f>
        <v>4108.36044473628</v>
      </c>
      <c r="K195" s="1" t="n">
        <f aca="false">F195*9.81</f>
        <v>46.1882754576</v>
      </c>
      <c r="L195" s="1" t="n">
        <f aca="false">J195*O$4</f>
        <v>37.0345004066213</v>
      </c>
      <c r="M195" s="1" t="n">
        <f aca="false">J195*P$4</f>
        <v>41.0836044473628</v>
      </c>
      <c r="N195" s="1" t="n">
        <f aca="false">IF(J195=0,0,K195/J195)</f>
        <v>0.0112425080707749</v>
      </c>
    </row>
    <row r="196" customFormat="false" ht="13.8" hidden="false" customHeight="false" outlineLevel="0" collapsed="false">
      <c r="A196" s="1" t="n">
        <v>1868</v>
      </c>
      <c r="B196" s="2" t="n">
        <v>3378.76</v>
      </c>
      <c r="C196" s="1" t="n">
        <v>20.15</v>
      </c>
      <c r="D196" s="1" t="n">
        <v>16</v>
      </c>
      <c r="E196" s="4" t="n">
        <f aca="false">C196*D196</f>
        <v>322.4</v>
      </c>
      <c r="F196" s="3" t="n">
        <v>4.7853956</v>
      </c>
      <c r="G196" s="4" t="n">
        <v>14.8430384615385</v>
      </c>
      <c r="H196" s="1" t="n">
        <f aca="false">B196*2*3.1415/60</f>
        <v>353.812484666667</v>
      </c>
      <c r="I196" s="1" t="n">
        <f aca="false">B196*SIGN(F196)</f>
        <v>3378.76</v>
      </c>
      <c r="J196" s="1" t="n">
        <f aca="false">H196*H196*SIGN(F196)*S$3*POWER(V$3,4)</f>
        <v>4176.38642965306</v>
      </c>
      <c r="K196" s="1" t="n">
        <f aca="false">F196*9.81</f>
        <v>46.944730836</v>
      </c>
      <c r="L196" s="1" t="n">
        <f aca="false">J196*O$4</f>
        <v>37.6477154348424</v>
      </c>
      <c r="M196" s="1" t="n">
        <f aca="false">J196*P$4</f>
        <v>41.7638642965306</v>
      </c>
      <c r="N196" s="1" t="n">
        <f aca="false">IF(J196=0,0,K196/J196)</f>
        <v>0.0112405141685847</v>
      </c>
    </row>
    <row r="197" customFormat="false" ht="13.8" hidden="false" customHeight="false" outlineLevel="0" collapsed="false">
      <c r="A197" s="1" t="n">
        <v>1872</v>
      </c>
      <c r="B197" s="2" t="n">
        <v>3405.6</v>
      </c>
      <c r="C197" s="1" t="n">
        <v>20.67</v>
      </c>
      <c r="D197" s="1" t="n">
        <v>16</v>
      </c>
      <c r="E197" s="4" t="n">
        <f aca="false">C197*D197</f>
        <v>330.72</v>
      </c>
      <c r="F197" s="3" t="n">
        <v>4.83529072</v>
      </c>
      <c r="G197" s="4" t="n">
        <v>14.6204968553459</v>
      </c>
      <c r="H197" s="1" t="n">
        <f aca="false">B197*2*3.1415/60</f>
        <v>356.62308</v>
      </c>
      <c r="I197" s="1" t="n">
        <f aca="false">B197*SIGN(F197)</f>
        <v>3405.6</v>
      </c>
      <c r="J197" s="1" t="n">
        <f aca="false">H197*H197*SIGN(F197)*S$3*POWER(V$3,4)</f>
        <v>4243.00225058069</v>
      </c>
      <c r="K197" s="1" t="n">
        <f aca="false">F197*9.81</f>
        <v>47.4342019632</v>
      </c>
      <c r="L197" s="1" t="n">
        <f aca="false">J197*O$4</f>
        <v>38.2482186478437</v>
      </c>
      <c r="M197" s="1" t="n">
        <f aca="false">J197*P$4</f>
        <v>42.4300225058069</v>
      </c>
      <c r="N197" s="1" t="n">
        <f aca="false">IF(J197=0,0,K197/J197)</f>
        <v>0.0111793958998509</v>
      </c>
    </row>
    <row r="198" customFormat="false" ht="13.8" hidden="false" customHeight="false" outlineLevel="0" collapsed="false">
      <c r="A198" s="1" t="n">
        <v>1876</v>
      </c>
      <c r="B198" s="2" t="n">
        <v>3427.86</v>
      </c>
      <c r="C198" s="1" t="n">
        <v>21.13</v>
      </c>
      <c r="D198" s="1" t="n">
        <v>16</v>
      </c>
      <c r="E198" s="4" t="n">
        <f aca="false">C198*D198</f>
        <v>338.08</v>
      </c>
      <c r="F198" s="3" t="n">
        <v>4.93054504</v>
      </c>
      <c r="G198" s="4" t="n">
        <v>14.5839595362045</v>
      </c>
      <c r="H198" s="1" t="n">
        <f aca="false">B198*2*3.1415/60</f>
        <v>358.954073</v>
      </c>
      <c r="I198" s="1" t="n">
        <f aca="false">B198*SIGN(F198)</f>
        <v>3427.86</v>
      </c>
      <c r="J198" s="1" t="n">
        <f aca="false">H198*H198*SIGN(F198)*S$3*POWER(V$3,4)</f>
        <v>4298.65053812265</v>
      </c>
      <c r="K198" s="1" t="n">
        <f aca="false">F198*9.81</f>
        <v>48.3686468424</v>
      </c>
      <c r="L198" s="1" t="n">
        <f aca="false">J198*O$4</f>
        <v>38.7498558715788</v>
      </c>
      <c r="M198" s="1" t="n">
        <f aca="false">J198*P$4</f>
        <v>42.9865053812265</v>
      </c>
      <c r="N198" s="1" t="n">
        <f aca="false">IF(J198=0,0,K198/J198)</f>
        <v>0.0112520537348738</v>
      </c>
    </row>
    <row r="199" customFormat="false" ht="13.8" hidden="false" customHeight="false" outlineLevel="0" collapsed="false">
      <c r="A199" s="1" t="n">
        <v>1880</v>
      </c>
      <c r="B199" s="2" t="n">
        <v>3437.91</v>
      </c>
      <c r="C199" s="1" t="n">
        <v>21.8</v>
      </c>
      <c r="D199" s="1" t="n">
        <v>16</v>
      </c>
      <c r="E199" s="4" t="n">
        <f aca="false">C199*D199</f>
        <v>348.8</v>
      </c>
      <c r="F199" s="3" t="n">
        <v>5.0121916</v>
      </c>
      <c r="G199" s="4" t="n">
        <v>14.3698153669725</v>
      </c>
      <c r="H199" s="1" t="n">
        <f aca="false">B199*2*3.1415/60</f>
        <v>360.0064755</v>
      </c>
      <c r="I199" s="1" t="n">
        <f aca="false">B199*SIGN(F199)</f>
        <v>3437.91</v>
      </c>
      <c r="J199" s="1" t="n">
        <f aca="false">H199*H199*SIGN(F199)*S$3*POWER(V$3,4)</f>
        <v>4323.89355747384</v>
      </c>
      <c r="K199" s="1" t="n">
        <f aca="false">F199*9.81</f>
        <v>49.169599596</v>
      </c>
      <c r="L199" s="1" t="n">
        <f aca="false">J199*O$4</f>
        <v>38.977407135155</v>
      </c>
      <c r="M199" s="1" t="n">
        <f aca="false">J199*P$4</f>
        <v>43.2389355747384</v>
      </c>
      <c r="N199" s="1" t="n">
        <f aca="false">IF(J199=0,0,K199/J199)</f>
        <v>0.011371602686891</v>
      </c>
    </row>
    <row r="200" customFormat="false" ht="13.8" hidden="false" customHeight="false" outlineLevel="0" collapsed="false">
      <c r="A200" s="1" t="n">
        <v>1884</v>
      </c>
      <c r="B200" s="2" t="n">
        <v>3454.99</v>
      </c>
      <c r="C200" s="1" t="n">
        <v>22.38</v>
      </c>
      <c r="D200" s="1" t="n">
        <v>16</v>
      </c>
      <c r="E200" s="4" t="n">
        <f aca="false">C200*D200</f>
        <v>358.08</v>
      </c>
      <c r="F200" s="3" t="n">
        <v>5.07569448</v>
      </c>
      <c r="G200" s="4" t="n">
        <v>14.17475</v>
      </c>
      <c r="H200" s="1" t="n">
        <f aca="false">B200*2*3.1415/60</f>
        <v>361.795036166667</v>
      </c>
      <c r="I200" s="1" t="n">
        <f aca="false">B200*SIGN(F200)</f>
        <v>3454.99</v>
      </c>
      <c r="J200" s="1" t="n">
        <f aca="false">H200*H200*SIGN(F200)*S$3*POWER(V$3,4)</f>
        <v>4366.96365271032</v>
      </c>
      <c r="K200" s="1" t="n">
        <f aca="false">F200*9.81</f>
        <v>49.7925628488</v>
      </c>
      <c r="L200" s="1" t="n">
        <f aca="false">J200*O$4</f>
        <v>39.3656592082155</v>
      </c>
      <c r="M200" s="1" t="n">
        <f aca="false">J200*P$4</f>
        <v>43.6696365271032</v>
      </c>
      <c r="N200" s="1" t="n">
        <f aca="false">IF(J200=0,0,K200/J200)</f>
        <v>0.0114021015077368</v>
      </c>
    </row>
    <row r="201" customFormat="false" ht="13.8" hidden="false" customHeight="false" outlineLevel="0" collapsed="false">
      <c r="A201" s="1" t="n">
        <v>1888</v>
      </c>
      <c r="B201" s="2" t="n">
        <v>3493.84</v>
      </c>
      <c r="C201" s="1" t="n">
        <v>22.81</v>
      </c>
      <c r="D201" s="1" t="n">
        <v>16</v>
      </c>
      <c r="E201" s="4" t="n">
        <f aca="false">C201*D201</f>
        <v>364.96</v>
      </c>
      <c r="F201" s="3" t="n">
        <v>5.14373328</v>
      </c>
      <c r="G201" s="4" t="n">
        <v>14.0939644892591</v>
      </c>
      <c r="H201" s="1" t="n">
        <f aca="false">B201*2*3.1415/60</f>
        <v>365.863278666667</v>
      </c>
      <c r="I201" s="1" t="n">
        <f aca="false">B201*SIGN(F201)</f>
        <v>3493.84</v>
      </c>
      <c r="J201" s="1" t="n">
        <f aca="false">H201*H201*SIGN(F201)*S$3*POWER(V$3,4)</f>
        <v>4465.72538477804</v>
      </c>
      <c r="K201" s="1" t="n">
        <f aca="false">F201*9.81</f>
        <v>50.4600234768</v>
      </c>
      <c r="L201" s="1" t="n">
        <f aca="false">J201*O$4</f>
        <v>40.2559392738574</v>
      </c>
      <c r="M201" s="1" t="n">
        <f aca="false">J201*P$4</f>
        <v>44.6572538477804</v>
      </c>
      <c r="N201" s="1" t="n">
        <f aca="false">IF(J201=0,0,K201/J201)</f>
        <v>0.0112994013579068</v>
      </c>
    </row>
    <row r="202" customFormat="false" ht="13.8" hidden="false" customHeight="false" outlineLevel="0" collapsed="false">
      <c r="A202" s="1" t="n">
        <v>1892</v>
      </c>
      <c r="B202" s="2" t="n">
        <v>3515.95</v>
      </c>
      <c r="C202" s="1" t="n">
        <v>23.28</v>
      </c>
      <c r="D202" s="1" t="n">
        <v>16</v>
      </c>
      <c r="E202" s="4" t="n">
        <f aca="false">C202*D202</f>
        <v>372.48</v>
      </c>
      <c r="F202" s="3" t="n">
        <v>5.17548472</v>
      </c>
      <c r="G202" s="4" t="n">
        <v>13.894664733677</v>
      </c>
      <c r="H202" s="1" t="n">
        <f aca="false">B202*2*3.1415/60</f>
        <v>368.178564166667</v>
      </c>
      <c r="I202" s="1" t="n">
        <f aca="false">B202*SIGN(F202)</f>
        <v>3515.95</v>
      </c>
      <c r="J202" s="1" t="n">
        <f aca="false">H202*H202*SIGN(F202)*S$3*POWER(V$3,4)</f>
        <v>4522.42495120092</v>
      </c>
      <c r="K202" s="1" t="n">
        <f aca="false">F202*9.81</f>
        <v>50.7715051032</v>
      </c>
      <c r="L202" s="1" t="n">
        <f aca="false">J202*O$4</f>
        <v>40.7670531705053</v>
      </c>
      <c r="M202" s="1" t="n">
        <f aca="false">J202*P$4</f>
        <v>45.2242495120092</v>
      </c>
      <c r="N202" s="1" t="n">
        <f aca="false">IF(J202=0,0,K202/J202)</f>
        <v>0.0112266108671892</v>
      </c>
    </row>
    <row r="203" customFormat="false" ht="13.8" hidden="false" customHeight="false" outlineLevel="0" collapsed="false">
      <c r="A203" s="1" t="n">
        <v>1896</v>
      </c>
      <c r="B203" s="2" t="n">
        <v>3527.23</v>
      </c>
      <c r="C203" s="1" t="n">
        <v>23.9</v>
      </c>
      <c r="D203" s="1" t="n">
        <v>16</v>
      </c>
      <c r="E203" s="4" t="n">
        <f aca="false">C203*D203</f>
        <v>382.4</v>
      </c>
      <c r="F203" s="3" t="n">
        <v>5.22084392</v>
      </c>
      <c r="G203" s="4" t="n">
        <v>13.6528345188285</v>
      </c>
      <c r="H203" s="1" t="n">
        <f aca="false">B203*2*3.1415/60</f>
        <v>369.359768166667</v>
      </c>
      <c r="I203" s="1" t="n">
        <f aca="false">B203*SIGN(F203)</f>
        <v>3527.23</v>
      </c>
      <c r="J203" s="1" t="n">
        <f aca="false">H203*H203*SIGN(F203)*S$3*POWER(V$3,4)</f>
        <v>4551.48951939189</v>
      </c>
      <c r="K203" s="1" t="n">
        <f aca="false">F203*9.81</f>
        <v>51.2164788552</v>
      </c>
      <c r="L203" s="1" t="n">
        <f aca="false">J203*O$4</f>
        <v>41.0290534932535</v>
      </c>
      <c r="M203" s="1" t="n">
        <f aca="false">J203*P$4</f>
        <v>45.5148951939189</v>
      </c>
      <c r="N203" s="1" t="n">
        <f aca="false">IF(J203=0,0,K203/J203)</f>
        <v>0.0112526852224946</v>
      </c>
    </row>
    <row r="204" customFormat="false" ht="13.8" hidden="false" customHeight="false" outlineLevel="0" collapsed="false">
      <c r="A204" s="1" t="n">
        <v>1900</v>
      </c>
      <c r="B204" s="2" t="n">
        <v>3533.445</v>
      </c>
      <c r="C204" s="1" t="n">
        <v>23.83</v>
      </c>
      <c r="D204" s="1" t="n">
        <v>16</v>
      </c>
      <c r="E204" s="4" t="n">
        <v>381.28</v>
      </c>
      <c r="F204" s="3" t="n">
        <v>5.24503549333333</v>
      </c>
      <c r="G204" s="4" t="n">
        <v>13.7563243262492</v>
      </c>
      <c r="H204" s="1" t="n">
        <f aca="false">B204*2*3.1415/60</f>
        <v>370.01058225</v>
      </c>
      <c r="I204" s="1" t="n">
        <f aca="false">B204*SIGN(F204)</f>
        <v>3533.445</v>
      </c>
      <c r="J204" s="1" t="n">
        <f aca="false">H204*H204*SIGN(F204)*S$3*POWER(V$3,4)</f>
        <v>4567.54315283239</v>
      </c>
      <c r="K204" s="1" t="n">
        <f aca="false">F204*9.81</f>
        <v>51.4537981896</v>
      </c>
      <c r="L204" s="1" t="n">
        <f aca="false">J204*O$4</f>
        <v>41.1737677417177</v>
      </c>
      <c r="M204" s="1" t="n">
        <f aca="false">J204*P$4</f>
        <v>45.6754315283239</v>
      </c>
      <c r="N204" s="1" t="n">
        <f aca="false">IF(J204=0,0,K204/J204)</f>
        <v>0.0112650929543365</v>
      </c>
    </row>
  </sheetData>
  <autoFilter ref="A3:V20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75" defaultRowHeight="13.8" customHeight="false" zeroHeight="false" outlineLevelRow="0" outlineLevelCol="0"/>
  <cols>
    <col collapsed="false" customWidth="true" hidden="false" outlineLevel="0" max="1" min="1" style="1" width="9.59"/>
    <col collapsed="false" customWidth="true" hidden="false" outlineLevel="0" max="2" min="2" style="2" width="9.13"/>
    <col collapsed="false" customWidth="true" hidden="false" outlineLevel="0" max="3" min="3" style="1" width="10.85"/>
    <col collapsed="false" customWidth="true" hidden="false" outlineLevel="0" max="4" min="4" style="1" width="11.14"/>
    <col collapsed="false" customWidth="true" hidden="false" outlineLevel="0" max="5" min="5" style="1" width="10.58"/>
    <col collapsed="false" customWidth="true" hidden="false" outlineLevel="0" max="6" min="6" style="1" width="10.99"/>
    <col collapsed="false" customWidth="true" hidden="false" outlineLevel="0" max="7" min="7" style="1" width="15.1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n">
        <v>1100</v>
      </c>
      <c r="B2" s="2" t="n">
        <v>3643.18166666667</v>
      </c>
      <c r="C2" s="3" t="n">
        <v>28.215</v>
      </c>
      <c r="D2" s="1" t="n">
        <v>18</v>
      </c>
      <c r="E2" s="4" t="n">
        <v>507.87</v>
      </c>
      <c r="F2" s="3" t="n">
        <v>-4.59035104</v>
      </c>
      <c r="G2" s="4" t="n">
        <v>9.03846365669765</v>
      </c>
    </row>
    <row r="3" customFormat="false" ht="13.8" hidden="false" customHeight="false" outlineLevel="0" collapsed="false">
      <c r="A3" s="1" t="n">
        <v>1104</v>
      </c>
      <c r="B3" s="2" t="n">
        <v>3643.02</v>
      </c>
      <c r="C3" s="1" t="n">
        <v>27.91</v>
      </c>
      <c r="D3" s="1" t="n">
        <v>18</v>
      </c>
      <c r="E3" s="4" t="n">
        <f aca="false">D3*C3</f>
        <v>502.38</v>
      </c>
      <c r="F3" s="3" t="n">
        <v>-4.54499184</v>
      </c>
      <c r="G3" s="4" t="n">
        <v>9.04692033918548</v>
      </c>
    </row>
    <row r="4" customFormat="false" ht="13.8" hidden="false" customHeight="false" outlineLevel="0" collapsed="false">
      <c r="A4" s="1" t="n">
        <v>1108</v>
      </c>
      <c r="B4" s="2" t="n">
        <v>3624.19</v>
      </c>
      <c r="C4" s="1" t="n">
        <v>27.31</v>
      </c>
      <c r="D4" s="1" t="n">
        <v>18</v>
      </c>
      <c r="E4" s="4" t="n">
        <f aca="false">D4*C4</f>
        <v>491.58</v>
      </c>
      <c r="F4" s="3" t="n">
        <v>-4.53138408</v>
      </c>
      <c r="G4" s="4" t="n">
        <v>9.21799926766752</v>
      </c>
    </row>
    <row r="5" customFormat="false" ht="13.8" hidden="false" customHeight="false" outlineLevel="0" collapsed="false">
      <c r="A5" s="1" t="n">
        <v>1112</v>
      </c>
      <c r="B5" s="2" t="n">
        <v>3607.36</v>
      </c>
      <c r="C5" s="1" t="n">
        <v>26.62</v>
      </c>
      <c r="D5" s="1" t="n">
        <v>18</v>
      </c>
      <c r="E5" s="4" t="n">
        <f aca="false">D5*C5</f>
        <v>479.16</v>
      </c>
      <c r="F5" s="3" t="n">
        <v>-4.47695304</v>
      </c>
      <c r="G5" s="4" t="n">
        <v>9.34333633859254</v>
      </c>
    </row>
    <row r="6" customFormat="false" ht="13.8" hidden="false" customHeight="false" outlineLevel="0" collapsed="false">
      <c r="A6" s="1" t="n">
        <v>1116</v>
      </c>
      <c r="B6" s="2" t="n">
        <v>3578.13</v>
      </c>
      <c r="C6" s="1" t="n">
        <v>26.04</v>
      </c>
      <c r="D6" s="1" t="n">
        <v>18</v>
      </c>
      <c r="E6" s="4" t="n">
        <f aca="false">D6*C6</f>
        <v>468.72</v>
      </c>
      <c r="F6" s="3" t="n">
        <v>-4.41798608</v>
      </c>
      <c r="G6" s="4" t="n">
        <v>9.42564021164021</v>
      </c>
    </row>
    <row r="7" customFormat="false" ht="13.8" hidden="false" customHeight="false" outlineLevel="0" collapsed="false">
      <c r="A7" s="1" t="n">
        <v>1120</v>
      </c>
      <c r="B7" s="2" t="n">
        <v>3563.25</v>
      </c>
      <c r="C7" s="1" t="n">
        <v>25.38</v>
      </c>
      <c r="D7" s="1" t="n">
        <v>18</v>
      </c>
      <c r="E7" s="4" t="n">
        <f aca="false">D7*C7</f>
        <v>456.84</v>
      </c>
      <c r="F7" s="3" t="n">
        <v>-4.34994728</v>
      </c>
      <c r="G7" s="4" t="n">
        <v>9.52181787934507</v>
      </c>
    </row>
    <row r="8" customFormat="false" ht="13.8" hidden="false" customHeight="false" outlineLevel="0" collapsed="false">
      <c r="A8" s="1" t="n">
        <v>1124</v>
      </c>
      <c r="B8" s="2" t="n">
        <v>3528.18</v>
      </c>
      <c r="C8" s="1" t="n">
        <v>24.8</v>
      </c>
      <c r="D8" s="1" t="n">
        <v>18</v>
      </c>
      <c r="E8" s="4" t="n">
        <f aca="false">D8*C8</f>
        <v>446.4</v>
      </c>
      <c r="F8" s="3" t="n">
        <v>-4.34541136</v>
      </c>
      <c r="G8" s="4" t="n">
        <v>9.73434444444444</v>
      </c>
    </row>
    <row r="9" customFormat="false" ht="13.8" hidden="false" customHeight="false" outlineLevel="0" collapsed="false">
      <c r="A9" s="1" t="n">
        <v>1128</v>
      </c>
      <c r="B9" s="2" t="n">
        <v>3519.7</v>
      </c>
      <c r="C9" s="1" t="n">
        <v>24.03</v>
      </c>
      <c r="D9" s="1" t="n">
        <v>18</v>
      </c>
      <c r="E9" s="4" t="n">
        <f aca="false">D9*C9</f>
        <v>432.54</v>
      </c>
      <c r="F9" s="3" t="n">
        <v>-4.16851048</v>
      </c>
      <c r="G9" s="4" t="n">
        <v>9.63728321080131</v>
      </c>
    </row>
    <row r="10" customFormat="false" ht="13.8" hidden="false" customHeight="false" outlineLevel="0" collapsed="false">
      <c r="A10" s="1" t="n">
        <v>1132</v>
      </c>
      <c r="B10" s="2" t="n">
        <v>3482.78</v>
      </c>
      <c r="C10" s="1" t="n">
        <v>23.53</v>
      </c>
      <c r="D10" s="1" t="n">
        <v>18</v>
      </c>
      <c r="E10" s="4" t="n">
        <f aca="false">D10*C10</f>
        <v>423.54</v>
      </c>
      <c r="F10" s="3" t="n">
        <v>-4.18211824</v>
      </c>
      <c r="G10" s="4" t="n">
        <v>9.87419898946971</v>
      </c>
    </row>
    <row r="11" customFormat="false" ht="13.8" hidden="false" customHeight="false" outlineLevel="0" collapsed="false">
      <c r="A11" s="1" t="n">
        <v>1136</v>
      </c>
      <c r="B11" s="2" t="n">
        <v>3469.8</v>
      </c>
      <c r="C11" s="1" t="n">
        <v>22.78</v>
      </c>
      <c r="D11" s="1" t="n">
        <v>18</v>
      </c>
      <c r="E11" s="4" t="n">
        <f aca="false">D11*C11</f>
        <v>410.04</v>
      </c>
      <c r="F11" s="3" t="n">
        <v>-4.1050076</v>
      </c>
      <c r="G11" s="4" t="n">
        <v>10.0112369524924</v>
      </c>
    </row>
    <row r="12" customFormat="false" ht="13.8" hidden="false" customHeight="false" outlineLevel="0" collapsed="false">
      <c r="A12" s="1" t="n">
        <v>1140</v>
      </c>
      <c r="B12" s="2" t="n">
        <v>3440.6</v>
      </c>
      <c r="C12" s="1" t="n">
        <v>22.21</v>
      </c>
      <c r="D12" s="1" t="n">
        <v>18</v>
      </c>
      <c r="E12" s="4" t="n">
        <f aca="false">D12*C12</f>
        <v>399.78</v>
      </c>
      <c r="F12" s="3" t="n">
        <v>-4.0369688</v>
      </c>
      <c r="G12" s="4" t="n">
        <v>10.0979758867377</v>
      </c>
    </row>
    <row r="13" customFormat="false" ht="13.8" hidden="false" customHeight="false" outlineLevel="0" collapsed="false">
      <c r="A13" s="1" t="n">
        <v>1144</v>
      </c>
      <c r="B13" s="2" t="n">
        <v>3421.79</v>
      </c>
      <c r="C13" s="1" t="n">
        <v>21.5</v>
      </c>
      <c r="D13" s="1" t="n">
        <v>18</v>
      </c>
      <c r="E13" s="4" t="n">
        <f aca="false">D13*C13</f>
        <v>387</v>
      </c>
      <c r="F13" s="3" t="n">
        <v>-3.9916096</v>
      </c>
      <c r="G13" s="4" t="n">
        <v>10.3142366925065</v>
      </c>
    </row>
    <row r="14" customFormat="false" ht="13.8" hidden="false" customHeight="false" outlineLevel="0" collapsed="false">
      <c r="A14" s="1" t="n">
        <v>1148</v>
      </c>
      <c r="B14" s="2" t="n">
        <v>3420</v>
      </c>
      <c r="C14" s="1" t="n">
        <v>20.61</v>
      </c>
      <c r="D14" s="1" t="n">
        <v>18</v>
      </c>
      <c r="E14" s="4" t="n">
        <f aca="false">D14*C14</f>
        <v>370.98</v>
      </c>
      <c r="F14" s="3" t="n">
        <v>-3.91449896</v>
      </c>
      <c r="G14" s="4" t="n">
        <v>10.5517789638255</v>
      </c>
    </row>
    <row r="15" customFormat="false" ht="13.8" hidden="false" customHeight="false" outlineLevel="0" collapsed="false">
      <c r="A15" s="1" t="n">
        <v>1152</v>
      </c>
      <c r="B15" s="2" t="n">
        <v>3375.18</v>
      </c>
      <c r="C15" s="1" t="n">
        <v>20.17</v>
      </c>
      <c r="D15" s="1" t="n">
        <v>18</v>
      </c>
      <c r="E15" s="4" t="n">
        <f aca="false">D15*C15</f>
        <v>363.06</v>
      </c>
      <c r="F15" s="3" t="n">
        <v>-3.86006792</v>
      </c>
      <c r="G15" s="4" t="n">
        <v>10.6320385611194</v>
      </c>
    </row>
    <row r="16" customFormat="false" ht="13.8" hidden="false" customHeight="false" outlineLevel="0" collapsed="false">
      <c r="A16" s="1" t="n">
        <v>1156</v>
      </c>
      <c r="B16" s="2" t="n">
        <v>3343.19</v>
      </c>
      <c r="C16" s="1" t="n">
        <v>19.51</v>
      </c>
      <c r="D16" s="1" t="n">
        <v>18</v>
      </c>
      <c r="E16" s="4" t="n">
        <f aca="false">D16*C16</f>
        <v>351.18</v>
      </c>
      <c r="F16" s="3" t="n">
        <v>-3.8101728</v>
      </c>
      <c r="G16" s="4" t="n">
        <v>10.8496292499573</v>
      </c>
    </row>
    <row r="17" customFormat="false" ht="13.8" hidden="false" customHeight="false" outlineLevel="0" collapsed="false">
      <c r="A17" s="1" t="n">
        <v>1160</v>
      </c>
      <c r="B17" s="2" t="n">
        <v>3315.63</v>
      </c>
      <c r="C17" s="1" t="n">
        <v>18.85</v>
      </c>
      <c r="D17" s="1" t="n">
        <v>18</v>
      </c>
      <c r="E17" s="4" t="n">
        <f aca="false">D17*C17</f>
        <v>339.3</v>
      </c>
      <c r="F17" s="3" t="n">
        <v>-3.71491848</v>
      </c>
      <c r="G17" s="4" t="n">
        <v>10.9487724137931</v>
      </c>
    </row>
    <row r="18" customFormat="false" ht="13.8" hidden="false" customHeight="false" outlineLevel="0" collapsed="false">
      <c r="A18" s="1" t="n">
        <v>1164</v>
      </c>
      <c r="B18" s="2" t="n">
        <v>3273.25</v>
      </c>
      <c r="C18" s="1" t="n">
        <v>18.23</v>
      </c>
      <c r="D18" s="1" t="n">
        <v>18</v>
      </c>
      <c r="E18" s="4" t="n">
        <f aca="false">D18*C18</f>
        <v>328.14</v>
      </c>
      <c r="F18" s="3" t="n">
        <v>-3.68316704</v>
      </c>
      <c r="G18" s="4" t="n">
        <v>11.2243769122935</v>
      </c>
    </row>
    <row r="19" customFormat="false" ht="13.8" hidden="false" customHeight="false" outlineLevel="0" collapsed="false">
      <c r="A19" s="1" t="n">
        <v>1168</v>
      </c>
      <c r="B19" s="2" t="n">
        <v>3247.91</v>
      </c>
      <c r="C19" s="1" t="n">
        <v>17.57</v>
      </c>
      <c r="D19" s="1" t="n">
        <v>18</v>
      </c>
      <c r="E19" s="4" t="n">
        <f aca="false">D19*C19</f>
        <v>316.26</v>
      </c>
      <c r="F19" s="3" t="n">
        <v>-3.55616128</v>
      </c>
      <c r="G19" s="4" t="n">
        <v>11.2444231961045</v>
      </c>
    </row>
    <row r="20" customFormat="false" ht="13.8" hidden="false" customHeight="false" outlineLevel="0" collapsed="false">
      <c r="A20" s="1" t="n">
        <v>1172</v>
      </c>
      <c r="B20" s="2" t="n">
        <v>3194.78</v>
      </c>
      <c r="C20" s="1" t="n">
        <v>17.12</v>
      </c>
      <c r="D20" s="1" t="n">
        <v>18</v>
      </c>
      <c r="E20" s="4" t="n">
        <f aca="false">D20*C20</f>
        <v>308.16</v>
      </c>
      <c r="F20" s="3" t="n">
        <v>-3.54255352</v>
      </c>
      <c r="G20" s="4" t="n">
        <v>11.4958252855659</v>
      </c>
    </row>
    <row r="21" customFormat="false" ht="13.8" hidden="false" customHeight="false" outlineLevel="0" collapsed="false">
      <c r="A21" s="1" t="n">
        <v>1176</v>
      </c>
      <c r="B21" s="2" t="n">
        <v>3192.54</v>
      </c>
      <c r="C21" s="1" t="n">
        <v>16.34</v>
      </c>
      <c r="D21" s="1" t="n">
        <v>18</v>
      </c>
      <c r="E21" s="4" t="n">
        <f aca="false">D21*C21</f>
        <v>294.12</v>
      </c>
      <c r="F21" s="3" t="n">
        <v>-3.4246196</v>
      </c>
      <c r="G21" s="4" t="n">
        <v>11.6436134910921</v>
      </c>
    </row>
    <row r="22" customFormat="false" ht="13.8" hidden="false" customHeight="false" outlineLevel="0" collapsed="false">
      <c r="A22" s="1" t="n">
        <v>1180</v>
      </c>
      <c r="B22" s="2" t="n">
        <v>3152.75</v>
      </c>
      <c r="C22" s="1" t="n">
        <v>15.8</v>
      </c>
      <c r="D22" s="1" t="n">
        <v>18</v>
      </c>
      <c r="E22" s="4" t="n">
        <f aca="false">D22*C22</f>
        <v>284.4</v>
      </c>
      <c r="F22" s="3" t="n">
        <v>-3.3565808</v>
      </c>
      <c r="G22" s="4" t="n">
        <v>11.802323488045</v>
      </c>
    </row>
    <row r="23" customFormat="false" ht="13.8" hidden="false" customHeight="false" outlineLevel="0" collapsed="false">
      <c r="A23" s="1" t="n">
        <v>1184</v>
      </c>
      <c r="B23" s="2" t="n">
        <v>3126.77</v>
      </c>
      <c r="C23" s="1" t="n">
        <v>15.19</v>
      </c>
      <c r="D23" s="1" t="n">
        <v>18</v>
      </c>
      <c r="E23" s="4" t="n">
        <f aca="false">D23*C23</f>
        <v>273.42</v>
      </c>
      <c r="F23" s="3" t="n">
        <v>-3.2658624</v>
      </c>
      <c r="G23" s="4" t="n">
        <v>11.9444897959184</v>
      </c>
    </row>
    <row r="24" customFormat="false" ht="13.8" hidden="false" customHeight="false" outlineLevel="0" collapsed="false">
      <c r="A24" s="1" t="n">
        <v>1188</v>
      </c>
      <c r="B24" s="2" t="n">
        <v>3086.75</v>
      </c>
      <c r="C24" s="1" t="n">
        <v>14.69</v>
      </c>
      <c r="D24" s="1" t="n">
        <v>18</v>
      </c>
      <c r="E24" s="4" t="n">
        <f aca="false">D24*C24</f>
        <v>264.42</v>
      </c>
      <c r="F24" s="3" t="n">
        <v>-3.19328768</v>
      </c>
      <c r="G24" s="4" t="n">
        <v>12.0765739354058</v>
      </c>
    </row>
    <row r="25" customFormat="false" ht="13.8" hidden="false" customHeight="false" outlineLevel="0" collapsed="false">
      <c r="A25" s="1" t="n">
        <v>1192</v>
      </c>
      <c r="B25" s="2" t="n">
        <v>3056.59</v>
      </c>
      <c r="C25" s="1" t="n">
        <v>14.16</v>
      </c>
      <c r="D25" s="1" t="n">
        <v>18</v>
      </c>
      <c r="E25" s="4" t="n">
        <f aca="false">D25*C25</f>
        <v>254.88</v>
      </c>
      <c r="F25" s="3" t="n">
        <v>-3.09349744</v>
      </c>
      <c r="G25" s="4" t="n">
        <v>12.1370740740741</v>
      </c>
    </row>
    <row r="26" customFormat="false" ht="13.8" hidden="false" customHeight="false" outlineLevel="0" collapsed="false">
      <c r="A26" s="1" t="n">
        <v>1196</v>
      </c>
      <c r="B26" s="2" t="n">
        <v>3021.9</v>
      </c>
      <c r="C26" s="1" t="n">
        <v>13.68</v>
      </c>
      <c r="D26" s="1" t="n">
        <v>18</v>
      </c>
      <c r="E26" s="4" t="n">
        <f aca="false">D26*C26</f>
        <v>246.24</v>
      </c>
      <c r="F26" s="3" t="n">
        <v>-3.02999456</v>
      </c>
      <c r="G26" s="4" t="n">
        <v>12.3050461338532</v>
      </c>
    </row>
    <row r="27" customFormat="false" ht="13.8" hidden="false" customHeight="false" outlineLevel="0" collapsed="false">
      <c r="A27" s="1" t="n">
        <v>1200</v>
      </c>
      <c r="B27" s="2" t="n">
        <v>2985.16</v>
      </c>
      <c r="C27" s="1" t="n">
        <v>13.27</v>
      </c>
      <c r="D27" s="1" t="n">
        <v>18</v>
      </c>
      <c r="E27" s="4" t="n">
        <f aca="false">D27*C27</f>
        <v>238.86</v>
      </c>
      <c r="F27" s="3" t="n">
        <v>-2.95741984</v>
      </c>
      <c r="G27" s="4" t="n">
        <v>12.381394289542</v>
      </c>
    </row>
    <row r="28" customFormat="false" ht="13.8" hidden="false" customHeight="false" outlineLevel="0" collapsed="false">
      <c r="A28" s="1" t="n">
        <v>1204</v>
      </c>
      <c r="B28" s="2" t="n">
        <v>2958.47</v>
      </c>
      <c r="C28" s="1" t="n">
        <v>12.83</v>
      </c>
      <c r="D28" s="1" t="n">
        <v>18</v>
      </c>
      <c r="E28" s="4" t="n">
        <f aca="false">D28*C28</f>
        <v>230.94</v>
      </c>
      <c r="F28" s="3" t="n">
        <v>-2.8803092</v>
      </c>
      <c r="G28" s="4" t="n">
        <v>12.472110504893</v>
      </c>
    </row>
    <row r="29" customFormat="false" ht="13.8" hidden="false" customHeight="false" outlineLevel="0" collapsed="false">
      <c r="A29" s="1" t="n">
        <v>1208</v>
      </c>
      <c r="B29" s="2" t="n">
        <v>2925.41</v>
      </c>
      <c r="C29" s="1" t="n">
        <v>12.36</v>
      </c>
      <c r="D29" s="1" t="n">
        <v>18</v>
      </c>
      <c r="E29" s="4" t="n">
        <f aca="false">D29*C29</f>
        <v>222.48</v>
      </c>
      <c r="F29" s="3" t="n">
        <v>-2.84402184</v>
      </c>
      <c r="G29" s="4" t="n">
        <v>12.7832696871629</v>
      </c>
    </row>
    <row r="30" customFormat="false" ht="13.8" hidden="false" customHeight="false" outlineLevel="0" collapsed="false">
      <c r="A30" s="1" t="n">
        <v>1212</v>
      </c>
      <c r="B30" s="2" t="n">
        <v>2896.06</v>
      </c>
      <c r="C30" s="1" t="n">
        <v>11.99</v>
      </c>
      <c r="D30" s="1" t="n">
        <v>18</v>
      </c>
      <c r="E30" s="4" t="n">
        <f aca="false">D30*C30</f>
        <v>215.82</v>
      </c>
      <c r="F30" s="3" t="n">
        <v>-2.77598304</v>
      </c>
      <c r="G30" s="4" t="n">
        <v>12.8624920767306</v>
      </c>
    </row>
    <row r="31" customFormat="false" ht="13.8" hidden="false" customHeight="false" outlineLevel="0" collapsed="false">
      <c r="A31" s="1" t="n">
        <v>1216</v>
      </c>
      <c r="B31" s="2" t="n">
        <v>2866.32</v>
      </c>
      <c r="C31" s="1" t="n">
        <v>11.58</v>
      </c>
      <c r="D31" s="1" t="n">
        <v>18</v>
      </c>
      <c r="E31" s="4" t="n">
        <f aca="false">D31*C31</f>
        <v>208.44</v>
      </c>
      <c r="F31" s="3" t="n">
        <v>-2.6988724</v>
      </c>
      <c r="G31" s="4" t="n">
        <v>12.9479581654193</v>
      </c>
    </row>
    <row r="32" customFormat="false" ht="13.8" hidden="false" customHeight="false" outlineLevel="0" collapsed="false">
      <c r="A32" s="1" t="n">
        <v>1220</v>
      </c>
      <c r="B32" s="2" t="n">
        <v>2829.15</v>
      </c>
      <c r="C32" s="1" t="n">
        <v>11.32</v>
      </c>
      <c r="D32" s="1" t="n">
        <v>18</v>
      </c>
      <c r="E32" s="4" t="n">
        <f aca="false">D32*C32</f>
        <v>203.76</v>
      </c>
      <c r="F32" s="3" t="n">
        <v>-2.65804912</v>
      </c>
      <c r="G32" s="4" t="n">
        <v>13.0449996073812</v>
      </c>
    </row>
    <row r="33" customFormat="false" ht="13.8" hidden="false" customHeight="false" outlineLevel="0" collapsed="false">
      <c r="A33" s="1" t="n">
        <v>1224</v>
      </c>
      <c r="B33" s="2" t="n">
        <v>2806.13</v>
      </c>
      <c r="C33" s="1" t="n">
        <v>11</v>
      </c>
      <c r="D33" s="1" t="n">
        <v>18</v>
      </c>
      <c r="E33" s="4" t="n">
        <f aca="false">D33*C33</f>
        <v>198</v>
      </c>
      <c r="F33" s="3" t="n">
        <v>-2.5854744</v>
      </c>
      <c r="G33" s="4" t="n">
        <v>13.0579515151515</v>
      </c>
    </row>
    <row r="34" customFormat="false" ht="13.8" hidden="false" customHeight="false" outlineLevel="0" collapsed="false">
      <c r="A34" s="1" t="n">
        <v>1228</v>
      </c>
      <c r="B34" s="2" t="n">
        <v>2785.07</v>
      </c>
      <c r="C34" s="1" t="n">
        <v>10.65</v>
      </c>
      <c r="D34" s="1" t="n">
        <v>18</v>
      </c>
      <c r="E34" s="4" t="n">
        <f aca="false">D34*C34</f>
        <v>191.7</v>
      </c>
      <c r="F34" s="3" t="n">
        <v>-2.52650744</v>
      </c>
      <c r="G34" s="4" t="n">
        <v>13.1794858633281</v>
      </c>
    </row>
    <row r="35" customFormat="false" ht="13.8" hidden="false" customHeight="false" outlineLevel="0" collapsed="false">
      <c r="A35" s="1" t="n">
        <v>1232</v>
      </c>
      <c r="B35" s="2" t="n">
        <v>2755.62</v>
      </c>
      <c r="C35" s="1" t="n">
        <v>10.27</v>
      </c>
      <c r="D35" s="1" t="n">
        <v>18</v>
      </c>
      <c r="E35" s="4" t="n">
        <f aca="false">D35*C35</f>
        <v>184.86</v>
      </c>
      <c r="F35" s="3" t="n">
        <v>-2.47661232</v>
      </c>
      <c r="G35" s="4" t="n">
        <v>13.3972320675106</v>
      </c>
    </row>
    <row r="36" customFormat="false" ht="13.8" hidden="false" customHeight="false" outlineLevel="0" collapsed="false">
      <c r="A36" s="1" t="n">
        <v>1236</v>
      </c>
      <c r="B36" s="2" t="n">
        <v>2719.81</v>
      </c>
      <c r="C36" s="1" t="n">
        <v>9.97</v>
      </c>
      <c r="D36" s="1" t="n">
        <v>18</v>
      </c>
      <c r="E36" s="4" t="n">
        <f aca="false">D36*C36</f>
        <v>179.46</v>
      </c>
      <c r="F36" s="3" t="n">
        <v>-2.42218128</v>
      </c>
      <c r="G36" s="4" t="n">
        <v>13.4970538281511</v>
      </c>
    </row>
    <row r="37" customFormat="false" ht="13.8" hidden="false" customHeight="false" outlineLevel="0" collapsed="false">
      <c r="A37" s="1" t="n">
        <v>1240</v>
      </c>
      <c r="B37" s="2" t="n">
        <v>2695.2</v>
      </c>
      <c r="C37" s="1" t="n">
        <v>9.55</v>
      </c>
      <c r="D37" s="1" t="n">
        <v>18</v>
      </c>
      <c r="E37" s="4" t="n">
        <f aca="false">D37*C37</f>
        <v>171.9</v>
      </c>
      <c r="F37" s="3" t="n">
        <v>-2.36321432</v>
      </c>
      <c r="G37" s="4" t="n">
        <v>13.747610936591</v>
      </c>
    </row>
    <row r="38" customFormat="false" ht="13.8" hidden="false" customHeight="false" outlineLevel="0" collapsed="false">
      <c r="A38" s="1" t="n">
        <v>1244</v>
      </c>
      <c r="B38" s="2" t="n">
        <v>2673.35</v>
      </c>
      <c r="C38" s="1" t="n">
        <v>9.2</v>
      </c>
      <c r="D38" s="1" t="n">
        <v>18</v>
      </c>
      <c r="E38" s="4" t="n">
        <f aca="false">D38*C38</f>
        <v>165.6</v>
      </c>
      <c r="F38" s="3" t="n">
        <v>-2.31785512</v>
      </c>
      <c r="G38" s="4" t="n">
        <v>13.9967096618357</v>
      </c>
    </row>
    <row r="39" customFormat="false" ht="13.8" hidden="false" customHeight="false" outlineLevel="0" collapsed="false">
      <c r="A39" s="1" t="n">
        <v>1248</v>
      </c>
      <c r="B39" s="2" t="n">
        <v>2638.02</v>
      </c>
      <c r="C39" s="1" t="n">
        <v>8.87</v>
      </c>
      <c r="D39" s="1" t="n">
        <v>18</v>
      </c>
      <c r="E39" s="4" t="n">
        <f aca="false">D39*C39</f>
        <v>159.66</v>
      </c>
      <c r="F39" s="3" t="n">
        <v>-2.25435224</v>
      </c>
      <c r="G39" s="4" t="n">
        <v>14.1197058749843</v>
      </c>
    </row>
    <row r="40" customFormat="false" ht="13.8" hidden="false" customHeight="false" outlineLevel="0" collapsed="false">
      <c r="A40" s="1" t="n">
        <v>1252</v>
      </c>
      <c r="B40" s="2" t="n">
        <v>2603.26</v>
      </c>
      <c r="C40" s="1" t="n">
        <v>8.54</v>
      </c>
      <c r="D40" s="1" t="n">
        <v>18</v>
      </c>
      <c r="E40" s="4" t="n">
        <f aca="false">D40*C40</f>
        <v>153.72</v>
      </c>
      <c r="F40" s="3" t="n">
        <v>-2.20899304</v>
      </c>
      <c r="G40" s="4" t="n">
        <v>14.3702383554515</v>
      </c>
    </row>
    <row r="41" customFormat="false" ht="13.8" hidden="false" customHeight="false" outlineLevel="0" collapsed="false">
      <c r="A41" s="1" t="n">
        <v>1256</v>
      </c>
      <c r="B41" s="2" t="n">
        <v>2572.35</v>
      </c>
      <c r="C41" s="1" t="n">
        <v>8.19</v>
      </c>
      <c r="D41" s="1" t="n">
        <v>18</v>
      </c>
      <c r="E41" s="4" t="n">
        <f aca="false">D41*C41</f>
        <v>147.42</v>
      </c>
      <c r="F41" s="3" t="n">
        <v>-2.15909792</v>
      </c>
      <c r="G41" s="4" t="n">
        <v>14.6458955365622</v>
      </c>
    </row>
    <row r="42" customFormat="false" ht="13.8" hidden="false" customHeight="false" outlineLevel="0" collapsed="false">
      <c r="A42" s="1" t="n">
        <v>1260</v>
      </c>
      <c r="B42" s="2" t="n">
        <v>2549.34</v>
      </c>
      <c r="C42" s="1" t="n">
        <v>7.77</v>
      </c>
      <c r="D42" s="1" t="n">
        <v>18</v>
      </c>
      <c r="E42" s="4" t="n">
        <f aca="false">D42*C42</f>
        <v>139.86</v>
      </c>
      <c r="F42" s="3" t="n">
        <v>-2.1092028</v>
      </c>
      <c r="G42" s="4" t="n">
        <v>15.0808151008151</v>
      </c>
    </row>
    <row r="43" customFormat="false" ht="13.8" hidden="false" customHeight="false" outlineLevel="0" collapsed="false">
      <c r="A43" s="1" t="n">
        <v>1264</v>
      </c>
      <c r="B43" s="2" t="n">
        <v>2513.7</v>
      </c>
      <c r="C43" s="1" t="n">
        <v>7.39</v>
      </c>
      <c r="D43" s="1" t="n">
        <v>18</v>
      </c>
      <c r="E43" s="4" t="n">
        <f aca="false">D43*C43</f>
        <v>133.02</v>
      </c>
      <c r="F43" s="3" t="n">
        <v>-2.041164</v>
      </c>
      <c r="G43" s="4" t="n">
        <v>15.3447902571042</v>
      </c>
    </row>
    <row r="44" customFormat="false" ht="13.8" hidden="false" customHeight="false" outlineLevel="0" collapsed="false">
      <c r="A44" s="1" t="n">
        <v>1268</v>
      </c>
      <c r="B44" s="2" t="n">
        <v>2487.94</v>
      </c>
      <c r="C44" s="1" t="n">
        <v>7</v>
      </c>
      <c r="D44" s="1" t="n">
        <v>18</v>
      </c>
      <c r="E44" s="4" t="n">
        <f aca="false">D44*C44</f>
        <v>126</v>
      </c>
      <c r="F44" s="3" t="n">
        <v>-1.9958048</v>
      </c>
      <c r="G44" s="4" t="n">
        <v>15.8397206349206</v>
      </c>
    </row>
    <row r="45" customFormat="false" ht="13.8" hidden="false" customHeight="false" outlineLevel="0" collapsed="false">
      <c r="A45" s="1" t="n">
        <v>1272</v>
      </c>
      <c r="B45" s="2" t="n">
        <v>2444.04</v>
      </c>
      <c r="C45" s="1" t="n">
        <v>6.65</v>
      </c>
      <c r="D45" s="1" t="n">
        <v>18</v>
      </c>
      <c r="E45" s="4" t="n">
        <f aca="false">D45*C45</f>
        <v>119.7</v>
      </c>
      <c r="F45" s="3" t="n">
        <v>-1.94137376</v>
      </c>
      <c r="G45" s="4" t="n">
        <v>16.2186613199666</v>
      </c>
    </row>
    <row r="46" customFormat="false" ht="13.8" hidden="false" customHeight="false" outlineLevel="0" collapsed="false">
      <c r="A46" s="1" t="n">
        <v>1276</v>
      </c>
      <c r="B46" s="2" t="n">
        <v>2410.93</v>
      </c>
      <c r="C46" s="1" t="n">
        <v>6.3</v>
      </c>
      <c r="D46" s="1" t="n">
        <v>18</v>
      </c>
      <c r="E46" s="4" t="n">
        <f aca="false">D46*C46</f>
        <v>113.4</v>
      </c>
      <c r="F46" s="3" t="n">
        <v>-1.8824068</v>
      </c>
      <c r="G46" s="4" t="n">
        <v>16.5997072310406</v>
      </c>
    </row>
    <row r="47" customFormat="false" ht="13.8" hidden="false" customHeight="false" outlineLevel="0" collapsed="false">
      <c r="A47" s="1" t="n">
        <v>1280</v>
      </c>
      <c r="B47" s="2" t="n">
        <v>2379.26</v>
      </c>
      <c r="C47" s="1" t="n">
        <v>6</v>
      </c>
      <c r="D47" s="1" t="n">
        <v>18</v>
      </c>
      <c r="E47" s="4" t="n">
        <f aca="false">D47*C47</f>
        <v>108</v>
      </c>
      <c r="F47" s="3" t="n">
        <v>-1.814368</v>
      </c>
      <c r="G47" s="4" t="n">
        <v>16.7997037037037</v>
      </c>
    </row>
    <row r="48" customFormat="false" ht="13.8" hidden="false" customHeight="false" outlineLevel="0" collapsed="false">
      <c r="A48" s="1" t="n">
        <v>1284</v>
      </c>
      <c r="B48" s="2" t="n">
        <v>2343.32</v>
      </c>
      <c r="C48" s="1" t="n">
        <v>5.75</v>
      </c>
      <c r="D48" s="1" t="n">
        <v>18</v>
      </c>
      <c r="E48" s="4" t="n">
        <f aca="false">D48*C48</f>
        <v>103.5</v>
      </c>
      <c r="F48" s="3" t="n">
        <v>-1.75993696</v>
      </c>
      <c r="G48" s="4" t="n">
        <v>17.0042218357488</v>
      </c>
    </row>
    <row r="49" customFormat="false" ht="13.8" hidden="false" customHeight="false" outlineLevel="0" collapsed="false">
      <c r="A49" s="1" t="n">
        <v>1288</v>
      </c>
      <c r="B49" s="2" t="n">
        <v>2309.77</v>
      </c>
      <c r="C49" s="1" t="n">
        <v>5.5</v>
      </c>
      <c r="D49" s="1" t="n">
        <v>18</v>
      </c>
      <c r="E49" s="4" t="n">
        <f aca="false">D49*C49</f>
        <v>99</v>
      </c>
      <c r="F49" s="3" t="n">
        <v>-1.71911368</v>
      </c>
      <c r="G49" s="4" t="n">
        <v>17.3647846464646</v>
      </c>
    </row>
    <row r="50" customFormat="false" ht="13.8" hidden="false" customHeight="false" outlineLevel="0" collapsed="false">
      <c r="A50" s="1" t="n">
        <v>1292</v>
      </c>
      <c r="B50" s="2" t="n">
        <v>2283.21</v>
      </c>
      <c r="C50" s="1" t="n">
        <v>5.23</v>
      </c>
      <c r="D50" s="1" t="n">
        <v>18</v>
      </c>
      <c r="E50" s="4" t="n">
        <f aca="false">D50*C50</f>
        <v>94.14</v>
      </c>
      <c r="F50" s="3" t="n">
        <v>-1.66014672</v>
      </c>
      <c r="G50" s="4" t="n">
        <v>17.6348706182282</v>
      </c>
    </row>
    <row r="51" customFormat="false" ht="13.8" hidden="false" customHeight="false" outlineLevel="0" collapsed="false">
      <c r="A51" s="1" t="n">
        <v>1296</v>
      </c>
      <c r="B51" s="2" t="n">
        <v>2246.68</v>
      </c>
      <c r="C51" s="1" t="n">
        <v>5</v>
      </c>
      <c r="D51" s="1" t="n">
        <v>18</v>
      </c>
      <c r="E51" s="4" t="n">
        <f aca="false">D51*C51</f>
        <v>90</v>
      </c>
      <c r="F51" s="3" t="n">
        <v>-1.6102516</v>
      </c>
      <c r="G51" s="4" t="n">
        <v>17.8916844444444</v>
      </c>
    </row>
    <row r="52" customFormat="false" ht="13.8" hidden="false" customHeight="false" outlineLevel="0" collapsed="false">
      <c r="A52" s="1" t="n">
        <v>1300</v>
      </c>
      <c r="B52" s="2" t="n">
        <v>2217.88</v>
      </c>
      <c r="C52" s="1" t="n">
        <v>4.79</v>
      </c>
      <c r="D52" s="1" t="n">
        <v>18</v>
      </c>
      <c r="E52" s="4" t="n">
        <f aca="false">D52*C52</f>
        <v>86.22</v>
      </c>
      <c r="F52" s="3" t="n">
        <v>-1.5648924</v>
      </c>
      <c r="G52" s="4" t="n">
        <v>18.1499930410578</v>
      </c>
    </row>
    <row r="53" customFormat="false" ht="13.8" hidden="false" customHeight="false" outlineLevel="0" collapsed="false">
      <c r="A53" s="1" t="n">
        <v>1304</v>
      </c>
      <c r="B53" s="2" t="n">
        <v>2177.62</v>
      </c>
      <c r="C53" s="1" t="n">
        <v>4.59</v>
      </c>
      <c r="D53" s="1" t="n">
        <v>18</v>
      </c>
      <c r="E53" s="4" t="n">
        <f aca="false">D53*C53</f>
        <v>82.62</v>
      </c>
      <c r="F53" s="3" t="n">
        <v>-1.5195332</v>
      </c>
      <c r="G53" s="4" t="n">
        <v>18.3918324860808</v>
      </c>
    </row>
    <row r="54" customFormat="false" ht="13.8" hidden="false" customHeight="false" outlineLevel="0" collapsed="false">
      <c r="A54" s="1" t="n">
        <v>1308</v>
      </c>
      <c r="B54" s="2" t="n">
        <v>2154.53</v>
      </c>
      <c r="C54" s="1" t="n">
        <v>4.3</v>
      </c>
      <c r="D54" s="1" t="n">
        <v>18</v>
      </c>
      <c r="E54" s="4" t="n">
        <f aca="false">D54*C54</f>
        <v>77.4</v>
      </c>
      <c r="F54" s="3" t="n">
        <v>-1.46510216</v>
      </c>
      <c r="G54" s="4" t="n">
        <v>18.9289684754522</v>
      </c>
    </row>
    <row r="55" customFormat="false" ht="13.8" hidden="false" customHeight="false" outlineLevel="0" collapsed="false">
      <c r="A55" s="1" t="n">
        <v>1312</v>
      </c>
      <c r="B55" s="2" t="n">
        <v>2122.97</v>
      </c>
      <c r="C55" s="1" t="n">
        <v>4.1</v>
      </c>
      <c r="D55" s="1" t="n">
        <v>18</v>
      </c>
      <c r="E55" s="4" t="n">
        <f aca="false">D55*C55</f>
        <v>73.8</v>
      </c>
      <c r="F55" s="3" t="n">
        <v>-1.42427888</v>
      </c>
      <c r="G55" s="4" t="n">
        <v>19.2991718157182</v>
      </c>
    </row>
    <row r="56" customFormat="false" ht="13.8" hidden="false" customHeight="false" outlineLevel="0" collapsed="false">
      <c r="A56" s="1" t="n">
        <v>1316</v>
      </c>
      <c r="B56" s="2" t="n">
        <v>2089.22</v>
      </c>
      <c r="C56" s="1" t="n">
        <v>3.9</v>
      </c>
      <c r="D56" s="1" t="n">
        <v>18</v>
      </c>
      <c r="E56" s="4" t="n">
        <f aca="false">D56*C56</f>
        <v>70.2</v>
      </c>
      <c r="F56" s="3" t="n">
        <v>-1.37891968</v>
      </c>
      <c r="G56" s="4" t="n">
        <v>19.6427304843305</v>
      </c>
    </row>
    <row r="57" customFormat="false" ht="13.8" hidden="false" customHeight="false" outlineLevel="0" collapsed="false">
      <c r="A57" s="1" t="n">
        <v>1320</v>
      </c>
      <c r="B57" s="2" t="n">
        <v>2046.05</v>
      </c>
      <c r="C57" s="1" t="n">
        <v>3.68</v>
      </c>
      <c r="D57" s="1" t="n">
        <v>18</v>
      </c>
      <c r="E57" s="4" t="n">
        <f aca="false">D57*C57</f>
        <v>66.24</v>
      </c>
      <c r="F57" s="3" t="n">
        <v>-1.32902456</v>
      </c>
      <c r="G57" s="4" t="n">
        <v>20.0637765700483</v>
      </c>
    </row>
    <row r="58" customFormat="false" ht="13.8" hidden="false" customHeight="false" outlineLevel="0" collapsed="false">
      <c r="A58" s="1" t="n">
        <v>1324</v>
      </c>
      <c r="B58" s="2" t="n">
        <v>2013.09</v>
      </c>
      <c r="C58" s="1" t="n">
        <v>3.4</v>
      </c>
      <c r="D58" s="1" t="n">
        <v>18</v>
      </c>
      <c r="E58" s="4" t="n">
        <f aca="false">D58*C58</f>
        <v>61.2</v>
      </c>
      <c r="F58" s="3" t="n">
        <v>-1.27459352</v>
      </c>
      <c r="G58" s="4" t="n">
        <v>20.826691503268</v>
      </c>
    </row>
    <row r="59" customFormat="false" ht="13.8" hidden="false" customHeight="false" outlineLevel="0" collapsed="false">
      <c r="A59" s="1" t="n">
        <v>1328</v>
      </c>
      <c r="B59" s="2" t="n">
        <v>1974.15</v>
      </c>
      <c r="C59" s="1" t="n">
        <v>3.3</v>
      </c>
      <c r="D59" s="1" t="n">
        <v>18</v>
      </c>
      <c r="E59" s="4" t="n">
        <f aca="false">D59*C59</f>
        <v>59.4</v>
      </c>
      <c r="F59" s="3" t="n">
        <v>-1.2246984</v>
      </c>
      <c r="G59" s="4" t="n">
        <v>20.6178181818182</v>
      </c>
    </row>
    <row r="60" customFormat="false" ht="13.8" hidden="false" customHeight="false" outlineLevel="0" collapsed="false">
      <c r="A60" s="1" t="n">
        <v>1332</v>
      </c>
      <c r="B60" s="2" t="n">
        <v>1937.11</v>
      </c>
      <c r="C60" s="1" t="n">
        <v>3.1</v>
      </c>
      <c r="D60" s="1" t="n">
        <v>18</v>
      </c>
      <c r="E60" s="4" t="n">
        <f aca="false">D60*C60</f>
        <v>55.8</v>
      </c>
      <c r="F60" s="3" t="n">
        <v>-1.17480328</v>
      </c>
      <c r="G60" s="4" t="n">
        <v>21.0538222222222</v>
      </c>
    </row>
    <row r="61" customFormat="false" ht="13.8" hidden="false" customHeight="false" outlineLevel="0" collapsed="false">
      <c r="A61" s="1" t="n">
        <v>1336</v>
      </c>
      <c r="B61" s="2" t="n">
        <v>1896.43</v>
      </c>
      <c r="C61" s="1" t="n">
        <v>2.9</v>
      </c>
      <c r="D61" s="1" t="n">
        <v>18</v>
      </c>
      <c r="E61" s="4" t="n">
        <f aca="false">D61*C61</f>
        <v>52.2</v>
      </c>
      <c r="F61" s="3" t="n">
        <v>-1.13398</v>
      </c>
      <c r="G61" s="4" t="n">
        <v>21.723754789272</v>
      </c>
    </row>
    <row r="62" customFormat="false" ht="13.8" hidden="false" customHeight="false" outlineLevel="0" collapsed="false">
      <c r="A62" s="1" t="n">
        <v>1340</v>
      </c>
      <c r="B62" s="2" t="n">
        <v>1870.73</v>
      </c>
      <c r="C62" s="1" t="n">
        <v>2.73</v>
      </c>
      <c r="D62" s="1" t="n">
        <v>18</v>
      </c>
      <c r="E62" s="4" t="n">
        <f aca="false">D62*C62</f>
        <v>49.14</v>
      </c>
      <c r="F62" s="3" t="n">
        <v>-1.08408488</v>
      </c>
      <c r="G62" s="4" t="n">
        <v>22.0611493691494</v>
      </c>
    </row>
    <row r="63" customFormat="false" ht="13.8" hidden="false" customHeight="false" outlineLevel="0" collapsed="false">
      <c r="A63" s="1" t="n">
        <v>1344</v>
      </c>
      <c r="B63" s="2" t="n">
        <v>1832.49</v>
      </c>
      <c r="C63" s="1" t="n">
        <v>2.5</v>
      </c>
      <c r="D63" s="1" t="n">
        <v>18</v>
      </c>
      <c r="E63" s="4" t="n">
        <f aca="false">D63*C63</f>
        <v>45</v>
      </c>
      <c r="F63" s="3" t="n">
        <v>-1.04779752</v>
      </c>
      <c r="G63" s="4" t="n">
        <v>23.2843893333333</v>
      </c>
    </row>
    <row r="64" customFormat="false" ht="13.8" hidden="false" customHeight="false" outlineLevel="0" collapsed="false">
      <c r="A64" s="1" t="n">
        <v>1348</v>
      </c>
      <c r="B64" s="2" t="n">
        <v>1796.35</v>
      </c>
      <c r="C64" s="1" t="n">
        <v>2.3</v>
      </c>
      <c r="D64" s="1" t="n">
        <v>18</v>
      </c>
      <c r="E64" s="4" t="n">
        <f aca="false">D64*C64</f>
        <v>41.4</v>
      </c>
      <c r="F64" s="3" t="n">
        <v>-1.01151016</v>
      </c>
      <c r="G64" s="4" t="n">
        <v>24.4326125603865</v>
      </c>
    </row>
    <row r="65" customFormat="false" ht="13.8" hidden="false" customHeight="false" outlineLevel="0" collapsed="false">
      <c r="A65" s="1" t="n">
        <v>1352</v>
      </c>
      <c r="B65" s="2" t="n">
        <v>1764.93</v>
      </c>
      <c r="C65" s="1" t="n">
        <v>2.14</v>
      </c>
      <c r="D65" s="1" t="n">
        <v>18</v>
      </c>
      <c r="E65" s="4" t="n">
        <f aca="false">D65*C65</f>
        <v>38.52</v>
      </c>
      <c r="F65" s="3" t="n">
        <v>-0.97068688</v>
      </c>
      <c r="G65" s="4" t="n">
        <v>25.1995555555555</v>
      </c>
    </row>
    <row r="66" customFormat="false" ht="13.8" hidden="false" customHeight="false" outlineLevel="0" collapsed="false">
      <c r="A66" s="1" t="n">
        <v>1356</v>
      </c>
      <c r="B66" s="2" t="n">
        <v>1733.32</v>
      </c>
      <c r="C66" s="1" t="n">
        <v>2</v>
      </c>
      <c r="D66" s="1" t="n">
        <v>18</v>
      </c>
      <c r="E66" s="4" t="n">
        <f aca="false">D66*C66</f>
        <v>36</v>
      </c>
      <c r="F66" s="3" t="n">
        <v>-0.93439952</v>
      </c>
      <c r="G66" s="4" t="n">
        <v>25.9555422222222</v>
      </c>
    </row>
    <row r="67" customFormat="false" ht="13.8" hidden="false" customHeight="false" outlineLevel="0" collapsed="false">
      <c r="A67" s="1" t="n">
        <v>1360</v>
      </c>
      <c r="B67" s="2" t="n">
        <v>1696.73</v>
      </c>
      <c r="C67" s="1" t="n">
        <v>1.9</v>
      </c>
      <c r="D67" s="1" t="n">
        <v>18</v>
      </c>
      <c r="E67" s="4" t="n">
        <f aca="false">D67*C67</f>
        <v>34.2</v>
      </c>
      <c r="F67" s="3" t="n">
        <v>-0.89357624</v>
      </c>
      <c r="G67" s="4" t="n">
        <v>26.1279602339181</v>
      </c>
    </row>
    <row r="68" customFormat="false" ht="13.8" hidden="false" customHeight="false" outlineLevel="0" collapsed="false">
      <c r="A68" s="1" t="n">
        <v>1364</v>
      </c>
      <c r="B68" s="2" t="n">
        <v>1659.43</v>
      </c>
      <c r="C68" s="1" t="n">
        <v>1.76</v>
      </c>
      <c r="D68" s="1" t="n">
        <v>18</v>
      </c>
      <c r="E68" s="4" t="n">
        <f aca="false">D68*C68</f>
        <v>31.68</v>
      </c>
      <c r="F68" s="3" t="n">
        <v>-0.85728888</v>
      </c>
      <c r="G68" s="4" t="n">
        <v>27.0608863636364</v>
      </c>
    </row>
    <row r="69" customFormat="false" ht="13.8" hidden="false" customHeight="false" outlineLevel="0" collapsed="false">
      <c r="A69" s="1" t="n">
        <v>1368</v>
      </c>
      <c r="B69" s="2" t="n">
        <v>1611.36</v>
      </c>
      <c r="C69" s="1" t="n">
        <v>1.6</v>
      </c>
      <c r="D69" s="1" t="n">
        <v>18</v>
      </c>
      <c r="E69" s="4" t="n">
        <f aca="false">D69*C69</f>
        <v>28.8</v>
      </c>
      <c r="F69" s="3" t="n">
        <v>-0.81192968</v>
      </c>
      <c r="G69" s="4" t="n">
        <v>28.1920027777778</v>
      </c>
    </row>
    <row r="70" customFormat="false" ht="13.8" hidden="false" customHeight="false" outlineLevel="0" collapsed="false">
      <c r="A70" s="1" t="n">
        <v>1372</v>
      </c>
      <c r="B70" s="2" t="n">
        <v>1575.48</v>
      </c>
      <c r="C70" s="1" t="n">
        <v>1.5</v>
      </c>
      <c r="D70" s="1" t="n">
        <v>18</v>
      </c>
      <c r="E70" s="4" t="n">
        <f aca="false">D70*C70</f>
        <v>27</v>
      </c>
      <c r="F70" s="3" t="n">
        <v>-0.7711064</v>
      </c>
      <c r="G70" s="4" t="n">
        <v>28.5594962962963</v>
      </c>
    </row>
    <row r="71" customFormat="false" ht="13.8" hidden="false" customHeight="false" outlineLevel="0" collapsed="false">
      <c r="A71" s="1" t="n">
        <v>1376</v>
      </c>
      <c r="B71" s="2" t="n">
        <v>1539.42</v>
      </c>
      <c r="C71" s="1" t="n">
        <v>1.4</v>
      </c>
      <c r="D71" s="1" t="n">
        <v>18</v>
      </c>
      <c r="E71" s="4" t="n">
        <f aca="false">D71*C71</f>
        <v>25.2</v>
      </c>
      <c r="F71" s="3" t="n">
        <v>-0.73935496</v>
      </c>
      <c r="G71" s="4" t="n">
        <v>29.3394825396825</v>
      </c>
    </row>
    <row r="72" customFormat="false" ht="13.8" hidden="false" customHeight="false" outlineLevel="0" collapsed="false">
      <c r="A72" s="1" t="n">
        <v>1380</v>
      </c>
      <c r="B72" s="2" t="n">
        <v>1507.45</v>
      </c>
      <c r="C72" s="1" t="n">
        <v>1.3</v>
      </c>
      <c r="D72" s="1" t="n">
        <v>18</v>
      </c>
      <c r="E72" s="4" t="n">
        <f aca="false">D72*C72</f>
        <v>23.4</v>
      </c>
      <c r="F72" s="3" t="n">
        <v>-0.69853168</v>
      </c>
      <c r="G72" s="4" t="n">
        <v>29.8517811965812</v>
      </c>
    </row>
    <row r="73" customFormat="false" ht="13.8" hidden="false" customHeight="false" outlineLevel="0" collapsed="false">
      <c r="A73" s="1" t="n">
        <v>1384</v>
      </c>
      <c r="B73" s="2" t="n">
        <v>1469.11</v>
      </c>
      <c r="C73" s="1" t="n">
        <v>1.2</v>
      </c>
      <c r="D73" s="1" t="n">
        <v>18</v>
      </c>
      <c r="E73" s="4" t="n">
        <f aca="false">D73*C73</f>
        <v>21.6</v>
      </c>
      <c r="F73" s="3" t="n">
        <v>-0.67131616</v>
      </c>
      <c r="G73" s="4" t="n">
        <v>31.0794518518519</v>
      </c>
    </row>
    <row r="74" customFormat="false" ht="13.8" hidden="false" customHeight="false" outlineLevel="0" collapsed="false">
      <c r="A74" s="1" t="n">
        <v>1388</v>
      </c>
      <c r="B74" s="2" t="n">
        <v>1428.08</v>
      </c>
      <c r="C74" s="1" t="n">
        <v>1.1</v>
      </c>
      <c r="D74" s="1" t="n">
        <v>18</v>
      </c>
      <c r="E74" s="4" t="n">
        <f aca="false">D74*C74</f>
        <v>19.8</v>
      </c>
      <c r="F74" s="3" t="n">
        <v>-0.6350288</v>
      </c>
      <c r="G74" s="4" t="n">
        <v>32.0721616161616</v>
      </c>
    </row>
    <row r="75" customFormat="false" ht="13.8" hidden="false" customHeight="false" outlineLevel="0" collapsed="false">
      <c r="A75" s="1" t="n">
        <v>1392</v>
      </c>
      <c r="B75" s="2" t="n">
        <v>1389.85</v>
      </c>
      <c r="C75" s="1" t="n">
        <v>1</v>
      </c>
      <c r="D75" s="1" t="n">
        <v>18</v>
      </c>
      <c r="E75" s="4" t="n">
        <f aca="false">D75*C75</f>
        <v>18</v>
      </c>
      <c r="F75" s="3" t="n">
        <v>-0.59874144</v>
      </c>
      <c r="G75" s="4" t="n">
        <v>33.2634133333333</v>
      </c>
    </row>
    <row r="76" customFormat="false" ht="13.8" hidden="false" customHeight="false" outlineLevel="0" collapsed="false">
      <c r="A76" s="1" t="n">
        <v>1396</v>
      </c>
      <c r="B76" s="2" t="n">
        <v>1343.98</v>
      </c>
      <c r="C76" s="1" t="n">
        <v>0.8</v>
      </c>
      <c r="D76" s="1" t="n">
        <v>18</v>
      </c>
      <c r="E76" s="4" t="n">
        <f aca="false">D76*C76</f>
        <v>14.4</v>
      </c>
      <c r="F76" s="3" t="n">
        <v>-0.55791816</v>
      </c>
      <c r="G76" s="4" t="n">
        <v>38.7443166666667</v>
      </c>
    </row>
    <row r="77" customFormat="false" ht="13.8" hidden="false" customHeight="false" outlineLevel="0" collapsed="false">
      <c r="A77" s="1" t="n">
        <v>1400</v>
      </c>
      <c r="B77" s="2" t="n">
        <v>1308.26</v>
      </c>
      <c r="C77" s="1" t="n">
        <v>0.8</v>
      </c>
      <c r="D77" s="1" t="n">
        <v>18</v>
      </c>
      <c r="E77" s="4" t="n">
        <f aca="false">D77*C77</f>
        <v>14.4</v>
      </c>
      <c r="F77" s="3" t="n">
        <v>-0.53070264</v>
      </c>
      <c r="G77" s="4" t="n">
        <v>36.85435</v>
      </c>
    </row>
    <row r="78" customFormat="false" ht="13.8" hidden="false" customHeight="false" outlineLevel="0" collapsed="false">
      <c r="A78" s="1" t="n">
        <v>1404</v>
      </c>
      <c r="B78" s="2" t="n">
        <v>1269.73</v>
      </c>
      <c r="C78" s="1" t="n">
        <v>0.7</v>
      </c>
      <c r="D78" s="1" t="n">
        <v>18</v>
      </c>
      <c r="E78" s="4" t="n">
        <f aca="false">D78*C78</f>
        <v>12.6</v>
      </c>
      <c r="F78" s="3" t="n">
        <v>-0.49441528</v>
      </c>
      <c r="G78" s="4" t="n">
        <v>39.2393079365079</v>
      </c>
    </row>
    <row r="79" customFormat="false" ht="13.8" hidden="false" customHeight="false" outlineLevel="0" collapsed="false">
      <c r="A79" s="1" t="n">
        <v>1408</v>
      </c>
      <c r="B79" s="2" t="n">
        <v>1228.62</v>
      </c>
      <c r="C79" s="1" t="n">
        <v>0.63</v>
      </c>
      <c r="D79" s="1" t="n">
        <v>18</v>
      </c>
      <c r="E79" s="4" t="n">
        <f aca="false">D79*C79</f>
        <v>11.34</v>
      </c>
      <c r="F79" s="3" t="n">
        <v>-0.46266384</v>
      </c>
      <c r="G79" s="4" t="n">
        <v>40.7992804232804</v>
      </c>
    </row>
    <row r="80" customFormat="false" ht="13.8" hidden="false" customHeight="false" outlineLevel="0" collapsed="false">
      <c r="A80" s="1" t="n">
        <v>1412</v>
      </c>
      <c r="B80" s="2" t="n">
        <v>1177.69</v>
      </c>
      <c r="C80" s="1" t="n">
        <v>0.53</v>
      </c>
      <c r="D80" s="1" t="n">
        <v>18</v>
      </c>
      <c r="E80" s="4" t="n">
        <f aca="false">D80*C80</f>
        <v>9.54</v>
      </c>
      <c r="F80" s="3" t="n">
        <v>-0.4309124</v>
      </c>
      <c r="G80" s="4" t="n">
        <v>45.1690146750524</v>
      </c>
    </row>
    <row r="81" customFormat="false" ht="13.8" hidden="false" customHeight="false" outlineLevel="0" collapsed="false">
      <c r="A81" s="1" t="n">
        <v>1416</v>
      </c>
      <c r="B81" s="2" t="n">
        <v>1136.05</v>
      </c>
      <c r="C81" s="1" t="n">
        <v>0.5</v>
      </c>
      <c r="D81" s="1" t="n">
        <v>18</v>
      </c>
      <c r="E81" s="4" t="n">
        <f aca="false">D81*C81</f>
        <v>9</v>
      </c>
      <c r="F81" s="3" t="n">
        <v>-0.39916096</v>
      </c>
      <c r="G81" s="4" t="n">
        <v>44.3512177777778</v>
      </c>
    </row>
    <row r="82" customFormat="false" ht="13.8" hidden="false" customHeight="false" outlineLevel="0" collapsed="false">
      <c r="A82" s="1" t="n">
        <v>1420</v>
      </c>
      <c r="B82" s="2" t="n">
        <v>1090.18</v>
      </c>
      <c r="C82" s="1" t="n">
        <v>0.4</v>
      </c>
      <c r="D82" s="1" t="n">
        <v>18</v>
      </c>
      <c r="E82" s="4" t="n">
        <f aca="false">D82*C82</f>
        <v>7.2</v>
      </c>
      <c r="F82" s="3" t="n">
        <v>-0.36740952</v>
      </c>
      <c r="G82" s="4" t="n">
        <v>51.0291</v>
      </c>
    </row>
    <row r="83" customFormat="false" ht="13.8" hidden="false" customHeight="false" outlineLevel="0" collapsed="false">
      <c r="A83" s="1" t="n">
        <v>1424</v>
      </c>
      <c r="B83" s="2" t="n">
        <v>1038.65</v>
      </c>
      <c r="C83" s="1" t="n">
        <v>0.4</v>
      </c>
      <c r="D83" s="1" t="n">
        <v>18</v>
      </c>
      <c r="E83" s="4" t="n">
        <f aca="false">D83*C83</f>
        <v>7.2</v>
      </c>
      <c r="F83" s="3" t="n">
        <v>-0.33565808</v>
      </c>
      <c r="G83" s="4" t="n">
        <v>46.6191777777778</v>
      </c>
    </row>
    <row r="84" customFormat="false" ht="13.8" hidden="false" customHeight="false" outlineLevel="0" collapsed="false">
      <c r="A84" s="1" t="n">
        <v>1428</v>
      </c>
      <c r="B84" s="2" t="n">
        <v>989.05</v>
      </c>
      <c r="C84" s="1" t="n">
        <v>0.3</v>
      </c>
      <c r="D84" s="1" t="n">
        <v>18</v>
      </c>
      <c r="E84" s="4" t="n">
        <f aca="false">D84*C84</f>
        <v>5.4</v>
      </c>
      <c r="F84" s="3" t="n">
        <v>-0.30390664</v>
      </c>
      <c r="G84" s="4" t="n">
        <v>56.2790074074074</v>
      </c>
    </row>
    <row r="85" customFormat="false" ht="13.8" hidden="false" customHeight="false" outlineLevel="0" collapsed="false">
      <c r="A85" s="1" t="n">
        <v>1432</v>
      </c>
      <c r="B85" s="2" t="n">
        <v>934.9</v>
      </c>
      <c r="C85" s="1" t="n">
        <v>0.3</v>
      </c>
      <c r="D85" s="1" t="n">
        <v>18</v>
      </c>
      <c r="E85" s="4" t="n">
        <f aca="false">D85*C85</f>
        <v>5.4</v>
      </c>
      <c r="F85" s="3" t="n">
        <v>-0.2721552</v>
      </c>
      <c r="G85" s="4" t="n">
        <v>50.3991111111111</v>
      </c>
    </row>
    <row r="86" customFormat="false" ht="13.8" hidden="false" customHeight="false" outlineLevel="0" collapsed="false">
      <c r="A86" s="1" t="n">
        <v>1436</v>
      </c>
      <c r="B86" s="2" t="n">
        <v>883.7</v>
      </c>
      <c r="C86" s="1" t="n">
        <v>0.2</v>
      </c>
      <c r="D86" s="1" t="n">
        <v>18</v>
      </c>
      <c r="E86" s="4" t="n">
        <f aca="false">D86*C86</f>
        <v>3.6</v>
      </c>
      <c r="F86" s="3" t="n">
        <v>-0.24040376</v>
      </c>
      <c r="G86" s="4" t="n">
        <v>66.7788222222222</v>
      </c>
    </row>
    <row r="87" customFormat="false" ht="13.8" hidden="false" customHeight="false" outlineLevel="0" collapsed="false">
      <c r="A87" s="1" t="n">
        <v>1440</v>
      </c>
      <c r="B87" s="2" t="n">
        <v>823.43</v>
      </c>
      <c r="C87" s="1" t="n">
        <v>0.2</v>
      </c>
      <c r="D87" s="1" t="n">
        <v>18</v>
      </c>
      <c r="E87" s="4" t="n">
        <f aca="false">D87*C87</f>
        <v>3.6</v>
      </c>
      <c r="F87" s="3" t="n">
        <v>-0.20865232</v>
      </c>
      <c r="G87" s="4" t="n">
        <v>57.9589777777778</v>
      </c>
    </row>
    <row r="88" customFormat="false" ht="13.8" hidden="false" customHeight="false" outlineLevel="0" collapsed="false">
      <c r="A88" s="1" t="n">
        <v>1444</v>
      </c>
      <c r="B88" s="2" t="n">
        <v>760.35</v>
      </c>
      <c r="C88" s="1" t="n">
        <v>0.2</v>
      </c>
      <c r="D88" s="1" t="n">
        <v>18</v>
      </c>
      <c r="E88" s="4" t="n">
        <f aca="false">D88*C88</f>
        <v>3.6</v>
      </c>
      <c r="F88" s="3" t="n">
        <v>-0.1814368</v>
      </c>
      <c r="G88" s="4" t="n">
        <v>50.3991111111111</v>
      </c>
    </row>
    <row r="89" customFormat="false" ht="13.8" hidden="false" customHeight="false" outlineLevel="0" collapsed="false">
      <c r="A89" s="1" t="n">
        <v>1448</v>
      </c>
      <c r="B89" s="2" t="n">
        <v>703.12</v>
      </c>
      <c r="C89" s="1" t="n">
        <v>0.1</v>
      </c>
      <c r="D89" s="1" t="n">
        <v>18</v>
      </c>
      <c r="E89" s="4" t="n">
        <f aca="false">D89*C89</f>
        <v>1.8</v>
      </c>
      <c r="F89" s="3" t="n">
        <v>-0.15422128</v>
      </c>
      <c r="G89" s="4" t="n">
        <v>85.6784888888889</v>
      </c>
    </row>
    <row r="90" customFormat="false" ht="13.8" hidden="false" customHeight="false" outlineLevel="0" collapsed="false">
      <c r="A90" s="1" t="n">
        <v>1452</v>
      </c>
      <c r="B90" s="2" t="n">
        <v>637.9</v>
      </c>
      <c r="C90" s="1" t="n">
        <v>0.1</v>
      </c>
      <c r="D90" s="1" t="n">
        <v>18</v>
      </c>
      <c r="E90" s="4" t="n">
        <f aca="false">D90*C90</f>
        <v>1.8</v>
      </c>
      <c r="F90" s="3" t="n">
        <v>-0.12700576</v>
      </c>
      <c r="G90" s="4" t="n">
        <v>70.5587555555556</v>
      </c>
    </row>
    <row r="91" customFormat="false" ht="13.8" hidden="false" customHeight="false" outlineLevel="0" collapsed="false">
      <c r="A91" s="1" t="n">
        <v>1456</v>
      </c>
      <c r="B91" s="2" t="n">
        <v>575.01</v>
      </c>
      <c r="C91" s="1" t="n">
        <v>0.1</v>
      </c>
      <c r="D91" s="1" t="n">
        <v>18</v>
      </c>
      <c r="E91" s="4" t="n">
        <f aca="false">D91*C91</f>
        <v>1.8</v>
      </c>
      <c r="F91" s="3" t="n">
        <v>-0.10432616</v>
      </c>
      <c r="G91" s="4" t="n">
        <v>57.9589777777778</v>
      </c>
    </row>
    <row r="92" customFormat="false" ht="13.8" hidden="false" customHeight="false" outlineLevel="0" collapsed="false">
      <c r="A92" s="1" t="n">
        <v>1460</v>
      </c>
      <c r="B92" s="2" t="n">
        <v>501.11</v>
      </c>
      <c r="C92" s="1" t="n">
        <v>0.05</v>
      </c>
      <c r="D92" s="1" t="n">
        <v>18</v>
      </c>
      <c r="E92" s="4" t="n">
        <f aca="false">D92*C92</f>
        <v>0.9</v>
      </c>
      <c r="F92" s="3" t="n">
        <v>-0.07711064</v>
      </c>
      <c r="G92" s="4" t="n">
        <v>85.6784888888889</v>
      </c>
    </row>
    <row r="93" customFormat="false" ht="13.8" hidden="false" customHeight="false" outlineLevel="0" collapsed="false">
      <c r="A93" s="1" t="n">
        <v>1464</v>
      </c>
      <c r="B93" s="2" t="n">
        <v>428.39</v>
      </c>
      <c r="C93" s="1" t="n">
        <v>0.05</v>
      </c>
      <c r="D93" s="1" t="n">
        <v>18</v>
      </c>
      <c r="E93" s="4" t="n">
        <f aca="false">D93*C93</f>
        <v>0.9</v>
      </c>
      <c r="F93" s="3" t="n">
        <v>-0.05896696</v>
      </c>
      <c r="G93" s="4" t="n">
        <v>65.5188444444444</v>
      </c>
    </row>
    <row r="94" customFormat="false" ht="13.8" hidden="false" customHeight="false" outlineLevel="0" collapsed="false">
      <c r="A94" s="1" t="n">
        <v>1468</v>
      </c>
      <c r="B94" s="2" t="n">
        <v>357.47</v>
      </c>
      <c r="C94" s="1" t="n">
        <v>0.05</v>
      </c>
      <c r="D94" s="1" t="n">
        <v>18</v>
      </c>
      <c r="E94" s="4" t="n">
        <f aca="false">D94*C94</f>
        <v>0.9</v>
      </c>
      <c r="F94" s="3" t="n">
        <v>-0.0453592</v>
      </c>
      <c r="G94" s="4" t="n">
        <v>50.3991111111111</v>
      </c>
    </row>
    <row r="95" customFormat="false" ht="13.8" hidden="false" customHeight="false" outlineLevel="0" collapsed="false">
      <c r="A95" s="1" t="n">
        <v>1472</v>
      </c>
      <c r="B95" s="2" t="n">
        <v>0</v>
      </c>
      <c r="C95" s="1" t="n">
        <v>0</v>
      </c>
      <c r="D95" s="1" t="n">
        <v>18</v>
      </c>
      <c r="E95" s="4" t="n">
        <f aca="false">D95*C95</f>
        <v>0</v>
      </c>
      <c r="F95" s="3" t="n">
        <v>0</v>
      </c>
      <c r="G95" s="4" t="n">
        <v>0</v>
      </c>
    </row>
    <row r="96" customFormat="false" ht="13.8" hidden="false" customHeight="false" outlineLevel="0" collapsed="false">
      <c r="A96" s="1" t="n">
        <v>1476</v>
      </c>
      <c r="B96" s="2" t="n">
        <v>0</v>
      </c>
      <c r="C96" s="1" t="n">
        <v>0</v>
      </c>
      <c r="D96" s="1" t="n">
        <v>18</v>
      </c>
      <c r="E96" s="4" t="n">
        <f aca="false">D96*C96</f>
        <v>0</v>
      </c>
      <c r="F96" s="3" t="n">
        <v>0</v>
      </c>
      <c r="G96" s="4" t="n">
        <v>0</v>
      </c>
    </row>
    <row r="97" customFormat="false" ht="13.8" hidden="false" customHeight="false" outlineLevel="0" collapsed="false">
      <c r="A97" s="1" t="n">
        <v>1480</v>
      </c>
      <c r="B97" s="2" t="n">
        <v>0</v>
      </c>
      <c r="C97" s="1" t="n">
        <v>0</v>
      </c>
      <c r="D97" s="1" t="n">
        <v>18</v>
      </c>
      <c r="E97" s="4" t="n">
        <f aca="false">D97*C97</f>
        <v>0</v>
      </c>
      <c r="F97" s="3" t="n">
        <v>0</v>
      </c>
      <c r="G97" s="4" t="n">
        <v>0</v>
      </c>
    </row>
    <row r="98" customFormat="false" ht="13.8" hidden="false" customHeight="false" outlineLevel="0" collapsed="false">
      <c r="A98" s="1" t="n">
        <v>1484</v>
      </c>
      <c r="B98" s="2" t="n">
        <v>0</v>
      </c>
      <c r="C98" s="1" t="n">
        <v>0</v>
      </c>
      <c r="D98" s="1" t="n">
        <v>18</v>
      </c>
      <c r="E98" s="4" t="n">
        <f aca="false">D98*C98</f>
        <v>0</v>
      </c>
      <c r="F98" s="3" t="n">
        <v>0</v>
      </c>
      <c r="G98" s="4" t="n">
        <v>0</v>
      </c>
    </row>
    <row r="99" customFormat="false" ht="13.8" hidden="false" customHeight="false" outlineLevel="0" collapsed="false">
      <c r="A99" s="1" t="n">
        <v>1488</v>
      </c>
      <c r="B99" s="2" t="n">
        <v>0</v>
      </c>
      <c r="C99" s="1" t="n">
        <v>0</v>
      </c>
      <c r="D99" s="1" t="n">
        <v>18</v>
      </c>
      <c r="E99" s="4" t="n">
        <f aca="false">D99*C99</f>
        <v>0</v>
      </c>
      <c r="F99" s="3" t="n">
        <v>0</v>
      </c>
      <c r="G99" s="4" t="n">
        <v>0</v>
      </c>
    </row>
    <row r="100" customFormat="false" ht="13.8" hidden="false" customHeight="false" outlineLevel="0" collapsed="false">
      <c r="A100" s="1" t="n">
        <v>1492</v>
      </c>
      <c r="B100" s="2" t="n">
        <v>0</v>
      </c>
      <c r="C100" s="1" t="n">
        <v>0</v>
      </c>
      <c r="D100" s="1" t="n">
        <v>18</v>
      </c>
      <c r="E100" s="4" t="n">
        <f aca="false">D100*C100</f>
        <v>0</v>
      </c>
      <c r="F100" s="3" t="n">
        <v>0</v>
      </c>
      <c r="G100" s="4" t="n">
        <v>0</v>
      </c>
    </row>
    <row r="101" customFormat="false" ht="13.8" hidden="false" customHeight="false" outlineLevel="0" collapsed="false">
      <c r="A101" s="1" t="n">
        <v>1496</v>
      </c>
      <c r="B101" s="2" t="n">
        <v>0</v>
      </c>
      <c r="C101" s="1" t="n">
        <v>0</v>
      </c>
      <c r="D101" s="1" t="n">
        <v>18</v>
      </c>
      <c r="E101" s="4" t="n">
        <f aca="false">D101*C101</f>
        <v>0</v>
      </c>
      <c r="F101" s="3" t="n">
        <v>0</v>
      </c>
      <c r="G101" s="4" t="n">
        <v>0</v>
      </c>
    </row>
    <row r="102" customFormat="false" ht="13.8" hidden="false" customHeight="false" outlineLevel="0" collapsed="false">
      <c r="A102" s="1" t="n">
        <v>1500</v>
      </c>
      <c r="B102" s="2" t="n">
        <v>0</v>
      </c>
      <c r="C102" s="1" t="n">
        <v>0</v>
      </c>
      <c r="D102" s="1" t="n">
        <v>18</v>
      </c>
      <c r="E102" s="4" t="n">
        <f aca="false">D102*C102</f>
        <v>0</v>
      </c>
      <c r="F102" s="3" t="n">
        <v>0</v>
      </c>
      <c r="G102" s="4" t="n">
        <v>0</v>
      </c>
    </row>
    <row r="103" customFormat="false" ht="13.8" hidden="false" customHeight="false" outlineLevel="0" collapsed="false">
      <c r="A103" s="1" t="n">
        <v>1504</v>
      </c>
      <c r="B103" s="2" t="n">
        <v>0</v>
      </c>
      <c r="C103" s="1" t="n">
        <v>0</v>
      </c>
      <c r="D103" s="1" t="n">
        <v>18</v>
      </c>
      <c r="E103" s="4" t="n">
        <f aca="false">D103*C103</f>
        <v>0</v>
      </c>
      <c r="F103" s="3" t="n">
        <v>0</v>
      </c>
      <c r="G103" s="4" t="n">
        <v>0</v>
      </c>
    </row>
    <row r="104" customFormat="false" ht="13.8" hidden="false" customHeight="false" outlineLevel="0" collapsed="false">
      <c r="A104" s="1" t="n">
        <v>1508</v>
      </c>
      <c r="B104" s="2" t="n">
        <v>0</v>
      </c>
      <c r="C104" s="1" t="n">
        <v>0</v>
      </c>
      <c r="D104" s="1" t="n">
        <v>18</v>
      </c>
      <c r="E104" s="4" t="n">
        <f aca="false">D104*C104</f>
        <v>0</v>
      </c>
      <c r="F104" s="3" t="n">
        <v>0</v>
      </c>
      <c r="G104" s="4" t="n">
        <v>0</v>
      </c>
    </row>
    <row r="105" customFormat="false" ht="13.8" hidden="false" customHeight="false" outlineLevel="0" collapsed="false">
      <c r="A105" s="1" t="n">
        <v>1512</v>
      </c>
      <c r="B105" s="2" t="n">
        <v>0</v>
      </c>
      <c r="C105" s="1" t="n">
        <v>0</v>
      </c>
      <c r="D105" s="1" t="n">
        <v>18</v>
      </c>
      <c r="E105" s="4" t="n">
        <f aca="false">D105*C105</f>
        <v>0</v>
      </c>
      <c r="F105" s="3" t="n">
        <v>0</v>
      </c>
      <c r="G105" s="4" t="n">
        <v>0</v>
      </c>
    </row>
    <row r="106" customFormat="false" ht="13.8" hidden="false" customHeight="false" outlineLevel="0" collapsed="false">
      <c r="A106" s="1" t="n">
        <v>1516</v>
      </c>
      <c r="B106" s="2" t="n">
        <v>0</v>
      </c>
      <c r="C106" s="1" t="n">
        <v>0</v>
      </c>
      <c r="D106" s="1" t="n">
        <v>18</v>
      </c>
      <c r="E106" s="4" t="n">
        <f aca="false">D106*C106</f>
        <v>0</v>
      </c>
      <c r="F106" s="3" t="n">
        <v>0</v>
      </c>
      <c r="G106" s="4" t="n">
        <v>0</v>
      </c>
    </row>
    <row r="107" customFormat="false" ht="13.8" hidden="false" customHeight="false" outlineLevel="0" collapsed="false">
      <c r="A107" s="1" t="n">
        <v>1520</v>
      </c>
      <c r="B107" s="2" t="n">
        <v>0</v>
      </c>
      <c r="C107" s="1" t="n">
        <v>0</v>
      </c>
      <c r="D107" s="1" t="n">
        <v>18</v>
      </c>
      <c r="E107" s="4" t="n">
        <f aca="false">D107*C107</f>
        <v>0</v>
      </c>
      <c r="F107" s="3" t="n">
        <v>0</v>
      </c>
      <c r="G107" s="4" t="n">
        <v>0</v>
      </c>
    </row>
    <row r="108" customFormat="false" ht="13.8" hidden="false" customHeight="false" outlineLevel="0" collapsed="false">
      <c r="A108" s="1" t="n">
        <v>1524</v>
      </c>
      <c r="B108" s="2" t="n">
        <v>0</v>
      </c>
      <c r="C108" s="1" t="n">
        <v>0</v>
      </c>
      <c r="D108" s="1" t="n">
        <v>18</v>
      </c>
      <c r="E108" s="4" t="n">
        <f aca="false">D108*C108</f>
        <v>0</v>
      </c>
      <c r="F108" s="3" t="n">
        <v>0</v>
      </c>
      <c r="G108" s="4" t="n">
        <v>0</v>
      </c>
    </row>
    <row r="109" customFormat="false" ht="13.8" hidden="false" customHeight="false" outlineLevel="0" collapsed="false">
      <c r="A109" s="1" t="n">
        <v>1528</v>
      </c>
      <c r="B109" s="2" t="n">
        <v>0</v>
      </c>
      <c r="C109" s="1" t="n">
        <v>0</v>
      </c>
      <c r="D109" s="1" t="n">
        <v>18</v>
      </c>
      <c r="E109" s="4" t="n">
        <f aca="false">D109*C109</f>
        <v>0</v>
      </c>
      <c r="F109" s="3" t="n">
        <v>0</v>
      </c>
      <c r="G109" s="4" t="n">
        <v>0</v>
      </c>
    </row>
    <row r="110" customFormat="false" ht="13.8" hidden="false" customHeight="false" outlineLevel="0" collapsed="false">
      <c r="A110" s="1" t="n">
        <v>1532</v>
      </c>
      <c r="B110" s="2" t="n">
        <v>347.39</v>
      </c>
      <c r="C110" s="1" t="n">
        <v>0.05</v>
      </c>
      <c r="D110" s="1" t="n">
        <v>18</v>
      </c>
      <c r="E110" s="4" t="n">
        <f aca="false">D110*C110</f>
        <v>0.9</v>
      </c>
      <c r="F110" s="3" t="n">
        <v>0.0453592</v>
      </c>
      <c r="G110" s="4" t="n">
        <v>50.3991111111111</v>
      </c>
    </row>
    <row r="111" customFormat="false" ht="13.8" hidden="false" customHeight="false" outlineLevel="0" collapsed="false">
      <c r="A111" s="1" t="n">
        <v>1536</v>
      </c>
      <c r="B111" s="2" t="n">
        <v>423.81</v>
      </c>
      <c r="C111" s="1" t="n">
        <v>0.05</v>
      </c>
      <c r="D111" s="1" t="n">
        <v>18</v>
      </c>
      <c r="E111" s="4" t="n">
        <f aca="false">D111*C111</f>
        <v>0.9</v>
      </c>
      <c r="F111" s="3" t="n">
        <v>0.0680388</v>
      </c>
      <c r="G111" s="4" t="n">
        <v>75.5986666666667</v>
      </c>
    </row>
    <row r="112" customFormat="false" ht="13.8" hidden="false" customHeight="false" outlineLevel="0" collapsed="false">
      <c r="A112" s="1" t="n">
        <v>1540</v>
      </c>
      <c r="B112" s="2" t="n">
        <v>493.76</v>
      </c>
      <c r="C112" s="1" t="n">
        <v>0.05</v>
      </c>
      <c r="D112" s="1" t="n">
        <v>18</v>
      </c>
      <c r="E112" s="4" t="n">
        <f aca="false">D112*C112</f>
        <v>0.9</v>
      </c>
      <c r="F112" s="3" t="n">
        <v>0.0907184</v>
      </c>
      <c r="G112" s="4" t="n">
        <v>100.798222222222</v>
      </c>
    </row>
    <row r="113" customFormat="false" ht="13.8" hidden="false" customHeight="false" outlineLevel="0" collapsed="false">
      <c r="A113" s="1" t="n">
        <v>1544</v>
      </c>
      <c r="B113" s="2" t="n">
        <v>562.22</v>
      </c>
      <c r="C113" s="1" t="n">
        <v>0.1</v>
      </c>
      <c r="D113" s="1" t="n">
        <v>18</v>
      </c>
      <c r="E113" s="4" t="n">
        <f aca="false">D113*C113</f>
        <v>1.8</v>
      </c>
      <c r="F113" s="3" t="n">
        <v>0.12246984</v>
      </c>
      <c r="G113" s="4" t="n">
        <v>68.0388</v>
      </c>
    </row>
    <row r="114" customFormat="false" ht="13.8" hidden="false" customHeight="false" outlineLevel="0" collapsed="false">
      <c r="A114" s="1" t="n">
        <v>1548</v>
      </c>
      <c r="B114" s="2" t="n">
        <v>623.97</v>
      </c>
      <c r="C114" s="1" t="n">
        <v>0.1</v>
      </c>
      <c r="D114" s="1" t="n">
        <v>18</v>
      </c>
      <c r="E114" s="4" t="n">
        <f aca="false">D114*C114</f>
        <v>1.8</v>
      </c>
      <c r="F114" s="3" t="n">
        <v>0.14968536</v>
      </c>
      <c r="G114" s="4" t="n">
        <v>83.1585333333333</v>
      </c>
    </row>
    <row r="115" customFormat="false" ht="13.8" hidden="false" customHeight="false" outlineLevel="0" collapsed="false">
      <c r="A115" s="1" t="n">
        <v>1552</v>
      </c>
      <c r="B115" s="2" t="n">
        <v>685.56</v>
      </c>
      <c r="C115" s="1" t="n">
        <v>0.1</v>
      </c>
      <c r="D115" s="1" t="n">
        <v>18</v>
      </c>
      <c r="E115" s="4" t="n">
        <f aca="false">D115*C115</f>
        <v>1.8</v>
      </c>
      <c r="F115" s="3" t="n">
        <v>0.1814368</v>
      </c>
      <c r="G115" s="4" t="n">
        <v>100.798222222222</v>
      </c>
    </row>
    <row r="116" customFormat="false" ht="13.8" hidden="false" customHeight="false" outlineLevel="0" collapsed="false">
      <c r="A116" s="1" t="n">
        <v>1556</v>
      </c>
      <c r="B116" s="2" t="n">
        <v>744.59</v>
      </c>
      <c r="C116" s="1" t="n">
        <v>0.2</v>
      </c>
      <c r="D116" s="1" t="n">
        <v>18</v>
      </c>
      <c r="E116" s="4" t="n">
        <f aca="false">D116*C116</f>
        <v>3.6</v>
      </c>
      <c r="F116" s="3" t="n">
        <v>0.21318824</v>
      </c>
      <c r="G116" s="4" t="n">
        <v>59.2189555555556</v>
      </c>
    </row>
    <row r="117" customFormat="false" ht="13.8" hidden="false" customHeight="false" outlineLevel="0" collapsed="false">
      <c r="A117" s="1" t="n">
        <v>1560</v>
      </c>
      <c r="B117" s="2" t="n">
        <v>804.58</v>
      </c>
      <c r="C117" s="1" t="n">
        <v>0.2</v>
      </c>
      <c r="D117" s="1" t="n">
        <v>18</v>
      </c>
      <c r="E117" s="4" t="n">
        <f aca="false">D117*C117</f>
        <v>3.6</v>
      </c>
      <c r="F117" s="3" t="n">
        <v>0.2494756</v>
      </c>
      <c r="G117" s="4" t="n">
        <v>69.2987777777778</v>
      </c>
    </row>
    <row r="118" customFormat="false" ht="13.8" hidden="false" customHeight="false" outlineLevel="0" collapsed="false">
      <c r="A118" s="1" t="n">
        <v>1564</v>
      </c>
      <c r="B118" s="2" t="n">
        <v>856.31</v>
      </c>
      <c r="C118" s="1" t="n">
        <v>0.2</v>
      </c>
      <c r="D118" s="1" t="n">
        <v>18</v>
      </c>
      <c r="E118" s="4" t="n">
        <f aca="false">D118*C118</f>
        <v>3.6</v>
      </c>
      <c r="F118" s="3" t="n">
        <v>0.28576296</v>
      </c>
      <c r="G118" s="4" t="n">
        <v>79.3786</v>
      </c>
    </row>
    <row r="119" customFormat="false" ht="13.8" hidden="false" customHeight="false" outlineLevel="0" collapsed="false">
      <c r="A119" s="1" t="n">
        <v>1568</v>
      </c>
      <c r="B119" s="2" t="n">
        <v>906.34</v>
      </c>
      <c r="C119" s="1" t="n">
        <v>0.3</v>
      </c>
      <c r="D119" s="1" t="n">
        <v>18</v>
      </c>
      <c r="E119" s="4" t="n">
        <f aca="false">D119*C119</f>
        <v>5.4</v>
      </c>
      <c r="F119" s="3" t="n">
        <v>0.3175144</v>
      </c>
      <c r="G119" s="4" t="n">
        <v>58.798962962963</v>
      </c>
    </row>
    <row r="120" customFormat="false" ht="13.8" hidden="false" customHeight="false" outlineLevel="0" collapsed="false">
      <c r="A120" s="1" t="n">
        <v>1572</v>
      </c>
      <c r="B120" s="2" t="n">
        <v>958.79</v>
      </c>
      <c r="C120" s="1" t="n">
        <v>0.3</v>
      </c>
      <c r="D120" s="1" t="n">
        <v>18</v>
      </c>
      <c r="E120" s="4" t="n">
        <f aca="false">D120*C120</f>
        <v>5.4</v>
      </c>
      <c r="F120" s="3" t="n">
        <v>0.35833768</v>
      </c>
      <c r="G120" s="4" t="n">
        <v>66.3588296296296</v>
      </c>
    </row>
    <row r="121" customFormat="false" ht="13.8" hidden="false" customHeight="false" outlineLevel="0" collapsed="false">
      <c r="A121" s="1" t="n">
        <v>1576</v>
      </c>
      <c r="B121" s="2" t="n">
        <v>1008.73</v>
      </c>
      <c r="C121" s="1" t="n">
        <v>0.4</v>
      </c>
      <c r="D121" s="1" t="n">
        <v>18</v>
      </c>
      <c r="E121" s="4" t="n">
        <f aca="false">D121*C121</f>
        <v>7.2</v>
      </c>
      <c r="F121" s="3" t="n">
        <v>0.39008912</v>
      </c>
      <c r="G121" s="4" t="n">
        <v>54.1790444444444</v>
      </c>
    </row>
    <row r="122" customFormat="false" ht="13.8" hidden="false" customHeight="false" outlineLevel="0" collapsed="false">
      <c r="A122" s="1" t="n">
        <v>1580</v>
      </c>
      <c r="B122" s="2" t="n">
        <v>1051.71</v>
      </c>
      <c r="C122" s="1" t="n">
        <v>0.4</v>
      </c>
      <c r="D122" s="1" t="n">
        <v>18</v>
      </c>
      <c r="E122" s="4" t="n">
        <f aca="false">D122*C122</f>
        <v>7.2</v>
      </c>
      <c r="F122" s="3" t="n">
        <v>0.42637648</v>
      </c>
      <c r="G122" s="4" t="n">
        <v>59.2189555555556</v>
      </c>
    </row>
    <row r="123" customFormat="false" ht="13.8" hidden="false" customHeight="false" outlineLevel="0" collapsed="false">
      <c r="A123" s="1" t="n">
        <v>1584</v>
      </c>
      <c r="B123" s="2" t="n">
        <v>1098.94</v>
      </c>
      <c r="C123" s="1" t="n">
        <v>0.5</v>
      </c>
      <c r="D123" s="1" t="n">
        <v>18</v>
      </c>
      <c r="E123" s="4" t="n">
        <f aca="false">D123*C123</f>
        <v>9</v>
      </c>
      <c r="F123" s="3" t="n">
        <v>0.47173568</v>
      </c>
      <c r="G123" s="4" t="n">
        <v>52.4150755555556</v>
      </c>
    </row>
    <row r="124" customFormat="false" ht="13.8" hidden="false" customHeight="false" outlineLevel="0" collapsed="false">
      <c r="A124" s="1" t="n">
        <v>1588</v>
      </c>
      <c r="B124" s="2" t="n">
        <v>1140.17</v>
      </c>
      <c r="C124" s="1" t="n">
        <v>0.5</v>
      </c>
      <c r="D124" s="1" t="n">
        <v>18</v>
      </c>
      <c r="E124" s="4" t="n">
        <f aca="false">D124*C124</f>
        <v>9</v>
      </c>
      <c r="F124" s="3" t="n">
        <v>0.50802304</v>
      </c>
      <c r="G124" s="4" t="n">
        <v>56.4470044444444</v>
      </c>
    </row>
    <row r="125" customFormat="false" ht="13.8" hidden="false" customHeight="false" outlineLevel="0" collapsed="false">
      <c r="A125" s="1" t="n">
        <v>1592</v>
      </c>
      <c r="B125" s="2" t="n">
        <v>1183.86</v>
      </c>
      <c r="C125" s="1" t="n">
        <v>0.6</v>
      </c>
      <c r="D125" s="1" t="n">
        <v>18</v>
      </c>
      <c r="E125" s="4" t="n">
        <f aca="false">D125*C125</f>
        <v>10.8</v>
      </c>
      <c r="F125" s="3" t="n">
        <v>0.54884632</v>
      </c>
      <c r="G125" s="4" t="n">
        <v>50.8191037037037</v>
      </c>
    </row>
    <row r="126" customFormat="false" ht="13.8" hidden="false" customHeight="false" outlineLevel="0" collapsed="false">
      <c r="A126" s="1" t="n">
        <v>1596</v>
      </c>
      <c r="B126" s="2" t="n">
        <v>1226.74</v>
      </c>
      <c r="C126" s="1" t="n">
        <v>0.7</v>
      </c>
      <c r="D126" s="1" t="n">
        <v>18</v>
      </c>
      <c r="E126" s="4" t="n">
        <f aca="false">D126*C126</f>
        <v>12.6</v>
      </c>
      <c r="F126" s="3" t="n">
        <v>0.58513368</v>
      </c>
      <c r="G126" s="4" t="n">
        <v>46.439180952381</v>
      </c>
    </row>
    <row r="127" customFormat="false" ht="13.8" hidden="false" customHeight="false" outlineLevel="0" collapsed="false">
      <c r="A127" s="1" t="n">
        <v>1600</v>
      </c>
      <c r="B127" s="2" t="n">
        <v>1266.57</v>
      </c>
      <c r="C127" s="1" t="n">
        <v>0.8</v>
      </c>
      <c r="D127" s="1" t="n">
        <v>18</v>
      </c>
      <c r="E127" s="4" t="n">
        <f aca="false">D127*C127</f>
        <v>14.4</v>
      </c>
      <c r="F127" s="3" t="n">
        <v>0.62595696</v>
      </c>
      <c r="G127" s="4" t="n">
        <v>43.4692333333333</v>
      </c>
    </row>
    <row r="128" customFormat="false" ht="13.8" hidden="false" customHeight="false" outlineLevel="0" collapsed="false">
      <c r="A128" s="1" t="n">
        <v>1604</v>
      </c>
      <c r="B128" s="2" t="n">
        <v>1300.85</v>
      </c>
      <c r="C128" s="1" t="n">
        <v>0.88</v>
      </c>
      <c r="D128" s="1" t="n">
        <v>18</v>
      </c>
      <c r="E128" s="4" t="n">
        <f aca="false">D128*C128</f>
        <v>15.84</v>
      </c>
      <c r="F128" s="3" t="n">
        <v>0.66678024</v>
      </c>
      <c r="G128" s="4" t="n">
        <v>42.0947121212121</v>
      </c>
    </row>
    <row r="129" customFormat="false" ht="13.8" hidden="false" customHeight="false" outlineLevel="0" collapsed="false">
      <c r="A129" s="1" t="n">
        <v>1608</v>
      </c>
      <c r="B129" s="2" t="n">
        <v>1340.66</v>
      </c>
      <c r="C129" s="1" t="n">
        <v>1</v>
      </c>
      <c r="D129" s="1" t="n">
        <v>18</v>
      </c>
      <c r="E129" s="4" t="n">
        <f aca="false">D129*C129</f>
        <v>18</v>
      </c>
      <c r="F129" s="3" t="n">
        <v>0.69853168</v>
      </c>
      <c r="G129" s="4" t="n">
        <v>38.8073155555556</v>
      </c>
    </row>
    <row r="130" customFormat="false" ht="13.8" hidden="false" customHeight="false" outlineLevel="0" collapsed="false">
      <c r="A130" s="1" t="n">
        <v>1612</v>
      </c>
      <c r="B130" s="2" t="n">
        <v>1377.17</v>
      </c>
      <c r="C130" s="1" t="n">
        <v>1</v>
      </c>
      <c r="D130" s="1" t="n">
        <v>18</v>
      </c>
      <c r="E130" s="4" t="n">
        <f aca="false">D130*C130</f>
        <v>18</v>
      </c>
      <c r="F130" s="3" t="n">
        <v>0.75749864</v>
      </c>
      <c r="G130" s="4" t="n">
        <v>42.0832577777778</v>
      </c>
    </row>
    <row r="131" customFormat="false" ht="13.8" hidden="false" customHeight="false" outlineLevel="0" collapsed="false">
      <c r="A131" s="1" t="n">
        <v>1616</v>
      </c>
      <c r="B131" s="2" t="n">
        <v>1418.54</v>
      </c>
      <c r="C131" s="1" t="n">
        <v>1.2</v>
      </c>
      <c r="D131" s="1" t="n">
        <v>18</v>
      </c>
      <c r="E131" s="4" t="n">
        <f aca="false">D131*C131</f>
        <v>21.6</v>
      </c>
      <c r="F131" s="3" t="n">
        <v>0.80285784</v>
      </c>
      <c r="G131" s="4" t="n">
        <v>37.1693444444444</v>
      </c>
    </row>
    <row r="132" customFormat="false" ht="13.8" hidden="false" customHeight="false" outlineLevel="0" collapsed="false">
      <c r="A132" s="1" t="n">
        <v>1620</v>
      </c>
      <c r="B132" s="2" t="n">
        <v>1455.85</v>
      </c>
      <c r="C132" s="1" t="n">
        <v>1.3</v>
      </c>
      <c r="D132" s="1" t="n">
        <v>18</v>
      </c>
      <c r="E132" s="4" t="n">
        <f aca="false">D132*C132</f>
        <v>23.4</v>
      </c>
      <c r="F132" s="3" t="n">
        <v>0.8391452</v>
      </c>
      <c r="G132" s="4" t="n">
        <v>35.860905982906</v>
      </c>
    </row>
    <row r="133" customFormat="false" ht="13.8" hidden="false" customHeight="false" outlineLevel="0" collapsed="false">
      <c r="A133" s="1" t="n">
        <v>1624</v>
      </c>
      <c r="B133" s="2" t="n">
        <v>1493.24</v>
      </c>
      <c r="C133" s="1" t="n">
        <v>1.38</v>
      </c>
      <c r="D133" s="1" t="n">
        <v>18</v>
      </c>
      <c r="E133" s="4" t="n">
        <f aca="false">D133*C133</f>
        <v>24.84</v>
      </c>
      <c r="F133" s="3" t="n">
        <v>0.87996848</v>
      </c>
      <c r="G133" s="4" t="n">
        <v>35.42546215781</v>
      </c>
    </row>
    <row r="134" customFormat="false" ht="13.8" hidden="false" customHeight="false" outlineLevel="0" collapsed="false">
      <c r="A134" s="1" t="n">
        <v>1628</v>
      </c>
      <c r="B134" s="2" t="n">
        <v>1527.26</v>
      </c>
      <c r="C134" s="1" t="n">
        <v>1.5</v>
      </c>
      <c r="D134" s="1" t="n">
        <v>18</v>
      </c>
      <c r="E134" s="4" t="n">
        <f aca="false">D134*C134</f>
        <v>27</v>
      </c>
      <c r="F134" s="3" t="n">
        <v>0.91625584</v>
      </c>
      <c r="G134" s="4" t="n">
        <v>33.9354014814815</v>
      </c>
    </row>
    <row r="135" customFormat="false" ht="13.8" hidden="false" customHeight="false" outlineLevel="0" collapsed="false">
      <c r="A135" s="1" t="n">
        <v>1632</v>
      </c>
      <c r="B135" s="2" t="n">
        <v>1564.25</v>
      </c>
      <c r="C135" s="1" t="n">
        <v>1.6</v>
      </c>
      <c r="D135" s="1" t="n">
        <v>18</v>
      </c>
      <c r="E135" s="4" t="n">
        <f aca="false">D135*C135</f>
        <v>28.8</v>
      </c>
      <c r="F135" s="3" t="n">
        <v>0.96615096</v>
      </c>
      <c r="G135" s="4" t="n">
        <v>33.5469083333333</v>
      </c>
    </row>
    <row r="136" customFormat="false" ht="13.8" hidden="false" customHeight="false" outlineLevel="0" collapsed="false">
      <c r="A136" s="1" t="n">
        <v>1636</v>
      </c>
      <c r="B136" s="2" t="n">
        <v>1598.54</v>
      </c>
      <c r="C136" s="1" t="n">
        <v>1.7</v>
      </c>
      <c r="D136" s="1" t="n">
        <v>18</v>
      </c>
      <c r="E136" s="4" t="n">
        <f aca="false">D136*C136</f>
        <v>30.6</v>
      </c>
      <c r="F136" s="3" t="n">
        <v>1.01604608</v>
      </c>
      <c r="G136" s="4" t="n">
        <v>33.2041202614379</v>
      </c>
    </row>
    <row r="137" customFormat="false" ht="13.8" hidden="false" customHeight="false" outlineLevel="0" collapsed="false">
      <c r="A137" s="1" t="n">
        <v>1640</v>
      </c>
      <c r="B137" s="2" t="n">
        <v>1637.39</v>
      </c>
      <c r="C137" s="1" t="n">
        <v>1.83</v>
      </c>
      <c r="D137" s="1" t="n">
        <v>18</v>
      </c>
      <c r="E137" s="4" t="n">
        <f aca="false">D137*C137</f>
        <v>32.94</v>
      </c>
      <c r="F137" s="3" t="n">
        <v>1.07501304</v>
      </c>
      <c r="G137" s="4" t="n">
        <v>32.6354899817851</v>
      </c>
    </row>
    <row r="138" customFormat="false" ht="13.8" hidden="false" customHeight="false" outlineLevel="0" collapsed="false">
      <c r="A138" s="1" t="n">
        <v>1644</v>
      </c>
      <c r="B138" s="2" t="n">
        <v>1678.8</v>
      </c>
      <c r="C138" s="1" t="n">
        <v>2</v>
      </c>
      <c r="D138" s="1" t="n">
        <v>18</v>
      </c>
      <c r="E138" s="4" t="n">
        <f aca="false">D138*C138</f>
        <v>36</v>
      </c>
      <c r="F138" s="3" t="n">
        <v>1.13398</v>
      </c>
      <c r="G138" s="4" t="n">
        <v>31.4994444444444</v>
      </c>
    </row>
    <row r="139" customFormat="false" ht="13.8" hidden="false" customHeight="false" outlineLevel="0" collapsed="false">
      <c r="A139" s="1" t="n">
        <v>1648</v>
      </c>
      <c r="B139" s="2" t="n">
        <v>1716.08</v>
      </c>
      <c r="C139" s="1" t="n">
        <v>2.1</v>
      </c>
      <c r="D139" s="1" t="n">
        <v>18</v>
      </c>
      <c r="E139" s="4" t="n">
        <f aca="false">D139*C139</f>
        <v>37.8</v>
      </c>
      <c r="F139" s="3" t="n">
        <v>1.1793392</v>
      </c>
      <c r="G139" s="4" t="n">
        <v>31.1994497354497</v>
      </c>
    </row>
    <row r="140" customFormat="false" ht="13.8" hidden="false" customHeight="false" outlineLevel="0" collapsed="false">
      <c r="A140" s="1" t="n">
        <v>1652</v>
      </c>
      <c r="B140" s="2" t="n">
        <v>1747.18</v>
      </c>
      <c r="C140" s="1" t="n">
        <v>2.3</v>
      </c>
      <c r="D140" s="1" t="n">
        <v>18</v>
      </c>
      <c r="E140" s="4" t="n">
        <f aca="false">D140*C140</f>
        <v>41.4</v>
      </c>
      <c r="F140" s="3" t="n">
        <v>1.2246984</v>
      </c>
      <c r="G140" s="4" t="n">
        <v>29.5820869565217</v>
      </c>
    </row>
    <row r="141" customFormat="false" ht="13.8" hidden="false" customHeight="false" outlineLevel="0" collapsed="false">
      <c r="A141" s="1" t="n">
        <v>1656</v>
      </c>
      <c r="B141" s="2" t="n">
        <v>1782.7</v>
      </c>
      <c r="C141" s="1" t="n">
        <v>2.47</v>
      </c>
      <c r="D141" s="1" t="n">
        <v>18</v>
      </c>
      <c r="E141" s="4" t="n">
        <f aca="false">D141*C141</f>
        <v>44.46</v>
      </c>
      <c r="F141" s="3" t="n">
        <v>1.27912944</v>
      </c>
      <c r="G141" s="4" t="n">
        <v>28.770342780027</v>
      </c>
    </row>
    <row r="142" customFormat="false" ht="13.8" hidden="false" customHeight="false" outlineLevel="0" collapsed="false">
      <c r="A142" s="1" t="n">
        <v>1660</v>
      </c>
      <c r="B142" s="2" t="n">
        <v>1816.82</v>
      </c>
      <c r="C142" s="1" t="n">
        <v>2.7</v>
      </c>
      <c r="D142" s="1" t="n">
        <v>18</v>
      </c>
      <c r="E142" s="4" t="n">
        <f aca="false">D142*C142</f>
        <v>48.6</v>
      </c>
      <c r="F142" s="3" t="n">
        <v>1.31995272</v>
      </c>
      <c r="G142" s="4" t="n">
        <v>27.1595209876543</v>
      </c>
    </row>
    <row r="143" customFormat="false" ht="13.8" hidden="false" customHeight="false" outlineLevel="0" collapsed="false">
      <c r="A143" s="1" t="n">
        <v>1664</v>
      </c>
      <c r="B143" s="2" t="n">
        <v>1851.19</v>
      </c>
      <c r="C143" s="1" t="n">
        <v>2.9</v>
      </c>
      <c r="D143" s="1" t="n">
        <v>18</v>
      </c>
      <c r="E143" s="4" t="n">
        <f aca="false">D143*C143</f>
        <v>52.2</v>
      </c>
      <c r="F143" s="3" t="n">
        <v>1.3834556</v>
      </c>
      <c r="G143" s="4" t="n">
        <v>26.5029808429119</v>
      </c>
    </row>
    <row r="144" customFormat="false" ht="13.8" hidden="false" customHeight="false" outlineLevel="0" collapsed="false">
      <c r="A144" s="1" t="n">
        <v>1668</v>
      </c>
      <c r="B144" s="2" t="n">
        <v>1886.5</v>
      </c>
      <c r="C144" s="1" t="n">
        <v>3.07</v>
      </c>
      <c r="D144" s="1" t="n">
        <v>18</v>
      </c>
      <c r="E144" s="4" t="n">
        <f aca="false">D144*C144</f>
        <v>55.26</v>
      </c>
      <c r="F144" s="3" t="n">
        <v>1.42427888</v>
      </c>
      <c r="G144" s="4" t="n">
        <v>25.7741382555194</v>
      </c>
    </row>
    <row r="145" customFormat="false" ht="13.8" hidden="false" customHeight="false" outlineLevel="0" collapsed="false">
      <c r="A145" s="1" t="n">
        <v>1672</v>
      </c>
      <c r="B145" s="2" t="n">
        <v>1919.76</v>
      </c>
      <c r="C145" s="1" t="n">
        <v>3.24</v>
      </c>
      <c r="D145" s="1" t="n">
        <v>18</v>
      </c>
      <c r="E145" s="4" t="n">
        <f aca="false">D145*C145</f>
        <v>58.32</v>
      </c>
      <c r="F145" s="3" t="n">
        <v>1.48778176</v>
      </c>
      <c r="G145" s="4" t="n">
        <v>25.5106611796982</v>
      </c>
    </row>
    <row r="146" customFormat="false" ht="13.8" hidden="false" customHeight="false" outlineLevel="0" collapsed="false">
      <c r="A146" s="1" t="n">
        <v>1676</v>
      </c>
      <c r="B146" s="2" t="n">
        <v>1951.87</v>
      </c>
      <c r="C146" s="1" t="n">
        <v>3.4</v>
      </c>
      <c r="D146" s="1" t="n">
        <v>18</v>
      </c>
      <c r="E146" s="4" t="n">
        <f aca="false">D146*C146</f>
        <v>61.2</v>
      </c>
      <c r="F146" s="3" t="n">
        <v>1.53767688</v>
      </c>
      <c r="G146" s="4" t="n">
        <v>25.1254392156863</v>
      </c>
    </row>
    <row r="147" customFormat="false" ht="13.8" hidden="false" customHeight="false" outlineLevel="0" collapsed="false">
      <c r="A147" s="1" t="n">
        <v>1680</v>
      </c>
      <c r="B147" s="2" t="n">
        <v>1988.71</v>
      </c>
      <c r="C147" s="1" t="n">
        <v>3.6</v>
      </c>
      <c r="D147" s="1" t="n">
        <v>18</v>
      </c>
      <c r="E147" s="4" t="n">
        <f aca="false">D147*C147</f>
        <v>64.8</v>
      </c>
      <c r="F147" s="3" t="n">
        <v>1.59664384</v>
      </c>
      <c r="G147" s="4" t="n">
        <v>24.6395654320988</v>
      </c>
    </row>
    <row r="148" customFormat="false" ht="13.8" hidden="false" customHeight="false" outlineLevel="0" collapsed="false">
      <c r="A148" s="1" t="n">
        <v>1684</v>
      </c>
      <c r="B148" s="2" t="n">
        <v>2020.68</v>
      </c>
      <c r="C148" s="1" t="n">
        <v>3.8</v>
      </c>
      <c r="D148" s="1" t="n">
        <v>18</v>
      </c>
      <c r="E148" s="4" t="n">
        <f aca="false">D148*C148</f>
        <v>68.4</v>
      </c>
      <c r="F148" s="3" t="n">
        <v>1.6782904</v>
      </c>
      <c r="G148" s="4" t="n">
        <v>24.5364093567251</v>
      </c>
    </row>
    <row r="149" customFormat="false" ht="13.8" hidden="false" customHeight="false" outlineLevel="0" collapsed="false">
      <c r="A149" s="1" t="n">
        <v>1688</v>
      </c>
      <c r="B149" s="2" t="n">
        <v>2066.05</v>
      </c>
      <c r="C149" s="1" t="n">
        <v>4.07</v>
      </c>
      <c r="D149" s="1" t="n">
        <v>18</v>
      </c>
      <c r="E149" s="4" t="n">
        <f aca="false">D149*C149</f>
        <v>73.26</v>
      </c>
      <c r="F149" s="3" t="n">
        <v>1.74179328</v>
      </c>
      <c r="G149" s="4" t="n">
        <v>23.775502047502</v>
      </c>
    </row>
    <row r="150" customFormat="false" ht="13.8" hidden="false" customHeight="false" outlineLevel="0" collapsed="false">
      <c r="A150" s="1" t="n">
        <v>1692</v>
      </c>
      <c r="B150" s="2" t="n">
        <v>2097.65</v>
      </c>
      <c r="C150" s="1" t="n">
        <v>4.29</v>
      </c>
      <c r="D150" s="1" t="n">
        <v>18</v>
      </c>
      <c r="E150" s="4" t="n">
        <f aca="false">D150*C150</f>
        <v>77.22</v>
      </c>
      <c r="F150" s="3" t="n">
        <v>1.78715248</v>
      </c>
      <c r="G150" s="4" t="n">
        <v>23.1436477596478</v>
      </c>
    </row>
    <row r="151" customFormat="false" ht="13.8" hidden="false" customHeight="false" outlineLevel="0" collapsed="false">
      <c r="A151" s="1" t="n">
        <v>1696</v>
      </c>
      <c r="B151" s="2" t="n">
        <v>2143.12</v>
      </c>
      <c r="C151" s="1" t="n">
        <v>4.52</v>
      </c>
      <c r="D151" s="1" t="n">
        <v>18</v>
      </c>
      <c r="E151" s="4" t="n">
        <f aca="false">D151*C151</f>
        <v>81.36</v>
      </c>
      <c r="F151" s="3" t="n">
        <v>1.84158352</v>
      </c>
      <c r="G151" s="4" t="n">
        <v>22.6349990167158</v>
      </c>
    </row>
    <row r="152" customFormat="false" ht="13.8" hidden="false" customHeight="false" outlineLevel="0" collapsed="false">
      <c r="A152" s="1" t="n">
        <v>1700</v>
      </c>
      <c r="B152" s="2" t="n">
        <v>2171.18</v>
      </c>
      <c r="C152" s="1" t="n">
        <v>4.72</v>
      </c>
      <c r="D152" s="1" t="n">
        <v>18</v>
      </c>
      <c r="E152" s="4" t="n">
        <f aca="false">D152*C152</f>
        <v>84.96</v>
      </c>
      <c r="F152" s="3" t="n">
        <v>1.91869416</v>
      </c>
      <c r="G152" s="4" t="n">
        <v>22.5835</v>
      </c>
    </row>
    <row r="153" customFormat="false" ht="13.8" hidden="false" customHeight="false" outlineLevel="0" collapsed="false">
      <c r="A153" s="1" t="n">
        <v>1704</v>
      </c>
      <c r="B153" s="2" t="n">
        <v>2198.15</v>
      </c>
      <c r="C153" s="1" t="n">
        <v>4.98</v>
      </c>
      <c r="D153" s="1" t="n">
        <v>18</v>
      </c>
      <c r="E153" s="4" t="n">
        <f aca="false">D153*C153</f>
        <v>89.64</v>
      </c>
      <c r="F153" s="3" t="n">
        <v>1.9731252</v>
      </c>
      <c r="G153" s="4" t="n">
        <v>22.0116599732262</v>
      </c>
    </row>
    <row r="154" customFormat="false" ht="13.8" hidden="false" customHeight="false" outlineLevel="0" collapsed="false">
      <c r="A154" s="1" t="n">
        <v>1708</v>
      </c>
      <c r="B154" s="2" t="n">
        <v>2229.75</v>
      </c>
      <c r="C154" s="1" t="n">
        <v>5.2</v>
      </c>
      <c r="D154" s="1" t="n">
        <v>18</v>
      </c>
      <c r="E154" s="4" t="n">
        <f aca="false">D154*C154</f>
        <v>93.6</v>
      </c>
      <c r="F154" s="3" t="n">
        <v>2.03662808</v>
      </c>
      <c r="G154" s="4" t="n">
        <v>21.758847008547</v>
      </c>
    </row>
    <row r="155" customFormat="false" ht="13.8" hidden="false" customHeight="false" outlineLevel="0" collapsed="false">
      <c r="A155" s="1" t="n">
        <v>1712</v>
      </c>
      <c r="B155" s="2" t="n">
        <v>2264.8</v>
      </c>
      <c r="C155" s="1" t="n">
        <v>5.47</v>
      </c>
      <c r="D155" s="1" t="n">
        <v>18</v>
      </c>
      <c r="E155" s="4" t="n">
        <f aca="false">D155*C155</f>
        <v>98.46</v>
      </c>
      <c r="F155" s="3" t="n">
        <v>2.08198728</v>
      </c>
      <c r="G155" s="4" t="n">
        <v>21.1455137111517</v>
      </c>
    </row>
    <row r="156" customFormat="false" ht="13.8" hidden="false" customHeight="false" outlineLevel="0" collapsed="false">
      <c r="A156" s="1" t="n">
        <v>1716</v>
      </c>
      <c r="B156" s="2" t="n">
        <v>2293.47</v>
      </c>
      <c r="C156" s="1" t="n">
        <v>5.7</v>
      </c>
      <c r="D156" s="1" t="n">
        <v>18</v>
      </c>
      <c r="E156" s="4" t="n">
        <f aca="false">D156*C156</f>
        <v>102.6</v>
      </c>
      <c r="F156" s="3" t="n">
        <v>2.17270568</v>
      </c>
      <c r="G156" s="4" t="n">
        <v>21.1764686159844</v>
      </c>
    </row>
    <row r="157" customFormat="false" ht="13.8" hidden="false" customHeight="false" outlineLevel="0" collapsed="false">
      <c r="A157" s="1" t="n">
        <v>1720</v>
      </c>
      <c r="B157" s="2" t="n">
        <v>2330.12</v>
      </c>
      <c r="C157" s="1" t="n">
        <v>5.97</v>
      </c>
      <c r="D157" s="1" t="n">
        <v>18</v>
      </c>
      <c r="E157" s="4" t="n">
        <f aca="false">D157*C157</f>
        <v>107.46</v>
      </c>
      <c r="F157" s="3" t="n">
        <v>2.21806488</v>
      </c>
      <c r="G157" s="4" t="n">
        <v>20.6408419877164</v>
      </c>
    </row>
    <row r="158" customFormat="false" ht="13.8" hidden="false" customHeight="false" outlineLevel="0" collapsed="false">
      <c r="A158" s="1" t="n">
        <v>1724</v>
      </c>
      <c r="B158" s="2" t="n">
        <v>2351.21</v>
      </c>
      <c r="C158" s="1" t="n">
        <v>6.25</v>
      </c>
      <c r="D158" s="1" t="n">
        <v>18</v>
      </c>
      <c r="E158" s="4" t="n">
        <f aca="false">D158*C158</f>
        <v>112.5</v>
      </c>
      <c r="F158" s="3" t="n">
        <v>2.28156776</v>
      </c>
      <c r="G158" s="4" t="n">
        <v>20.2806023111111</v>
      </c>
    </row>
    <row r="159" customFormat="false" ht="13.8" hidden="false" customHeight="false" outlineLevel="0" collapsed="false">
      <c r="A159" s="1" t="n">
        <v>1728</v>
      </c>
      <c r="B159" s="2" t="n">
        <v>2402.01</v>
      </c>
      <c r="C159" s="1" t="n">
        <v>6.55</v>
      </c>
      <c r="D159" s="1" t="n">
        <v>18</v>
      </c>
      <c r="E159" s="4" t="n">
        <f aca="false">D159*C159</f>
        <v>117.9</v>
      </c>
      <c r="F159" s="3" t="n">
        <v>2.36321432</v>
      </c>
      <c r="G159" s="4" t="n">
        <v>20.0442266327396</v>
      </c>
    </row>
    <row r="160" customFormat="false" ht="13.8" hidden="false" customHeight="false" outlineLevel="0" collapsed="false">
      <c r="A160" s="1" t="n">
        <v>1732</v>
      </c>
      <c r="B160" s="2" t="n">
        <v>2442.78</v>
      </c>
      <c r="C160" s="1" t="n">
        <v>6.87</v>
      </c>
      <c r="D160" s="1" t="n">
        <v>18</v>
      </c>
      <c r="E160" s="4" t="n">
        <f aca="false">D160*C160</f>
        <v>123.66</v>
      </c>
      <c r="F160" s="3" t="n">
        <v>2.43125312</v>
      </c>
      <c r="G160" s="4" t="n">
        <v>19.6607886139415</v>
      </c>
    </row>
    <row r="161" customFormat="false" ht="13.8" hidden="false" customHeight="false" outlineLevel="0" collapsed="false">
      <c r="A161" s="1" t="n">
        <v>1736</v>
      </c>
      <c r="B161" s="2" t="n">
        <v>2474.17</v>
      </c>
      <c r="C161" s="1" t="n">
        <v>7.28</v>
      </c>
      <c r="D161" s="1" t="n">
        <v>18</v>
      </c>
      <c r="E161" s="4" t="n">
        <f aca="false">D161*C161</f>
        <v>131.04</v>
      </c>
      <c r="F161" s="3" t="n">
        <v>2.50382784</v>
      </c>
      <c r="G161" s="4" t="n">
        <v>19.1073553113553</v>
      </c>
    </row>
    <row r="162" customFormat="false" ht="13.8" hidden="false" customHeight="false" outlineLevel="0" collapsed="false">
      <c r="A162" s="1" t="n">
        <v>1740</v>
      </c>
      <c r="B162" s="2" t="n">
        <v>2512.63</v>
      </c>
      <c r="C162" s="1" t="n">
        <v>7.64</v>
      </c>
      <c r="D162" s="1" t="n">
        <v>18</v>
      </c>
      <c r="E162" s="4" t="n">
        <f aca="false">D162*C162</f>
        <v>137.52</v>
      </c>
      <c r="F162" s="3" t="n">
        <v>2.5854744</v>
      </c>
      <c r="G162" s="4" t="n">
        <v>18.8007155322862</v>
      </c>
    </row>
    <row r="163" customFormat="false" ht="13.8" hidden="false" customHeight="false" outlineLevel="0" collapsed="false">
      <c r="A163" s="1" t="n">
        <v>1744</v>
      </c>
      <c r="B163" s="2" t="n">
        <v>2546.43</v>
      </c>
      <c r="C163" s="1" t="n">
        <v>8</v>
      </c>
      <c r="D163" s="1" t="n">
        <v>18</v>
      </c>
      <c r="E163" s="4" t="n">
        <f aca="false">D163*C163</f>
        <v>144</v>
      </c>
      <c r="F163" s="3" t="n">
        <v>2.64444136</v>
      </c>
      <c r="G163" s="4" t="n">
        <v>18.3641761111111</v>
      </c>
    </row>
    <row r="164" customFormat="false" ht="13.8" hidden="false" customHeight="false" outlineLevel="0" collapsed="false">
      <c r="A164" s="1" t="n">
        <v>1748</v>
      </c>
      <c r="B164" s="2" t="n">
        <v>2577.29</v>
      </c>
      <c r="C164" s="1" t="n">
        <v>8.4</v>
      </c>
      <c r="D164" s="1" t="n">
        <v>18</v>
      </c>
      <c r="E164" s="4" t="n">
        <f aca="false">D164*C164</f>
        <v>151.2</v>
      </c>
      <c r="F164" s="3" t="n">
        <v>2.7442316</v>
      </c>
      <c r="G164" s="4" t="n">
        <v>18.1496798941799</v>
      </c>
    </row>
    <row r="165" customFormat="false" ht="13.8" hidden="false" customHeight="false" outlineLevel="0" collapsed="false">
      <c r="A165" s="1" t="n">
        <v>1752</v>
      </c>
      <c r="B165" s="2" t="n">
        <v>2602.17</v>
      </c>
      <c r="C165" s="1" t="n">
        <v>8.8</v>
      </c>
      <c r="D165" s="1" t="n">
        <v>18</v>
      </c>
      <c r="E165" s="4" t="n">
        <f aca="false">D165*C165</f>
        <v>158.4</v>
      </c>
      <c r="F165" s="3" t="n">
        <v>2.79412672</v>
      </c>
      <c r="G165" s="4" t="n">
        <v>17.6396888888889</v>
      </c>
    </row>
    <row r="166" customFormat="false" ht="13.8" hidden="false" customHeight="false" outlineLevel="0" collapsed="false">
      <c r="A166" s="1" t="n">
        <v>1756</v>
      </c>
      <c r="B166" s="2" t="n">
        <v>2627.11</v>
      </c>
      <c r="C166" s="1" t="n">
        <v>9.15</v>
      </c>
      <c r="D166" s="1" t="n">
        <v>18</v>
      </c>
      <c r="E166" s="4" t="n">
        <f aca="false">D166*C166</f>
        <v>164.7</v>
      </c>
      <c r="F166" s="3" t="n">
        <v>2.86670144</v>
      </c>
      <c r="G166" s="4" t="n">
        <v>17.405594656952</v>
      </c>
    </row>
    <row r="167" customFormat="false" ht="13.8" hidden="false" customHeight="false" outlineLevel="0" collapsed="false">
      <c r="A167" s="1" t="n">
        <v>1760</v>
      </c>
      <c r="B167" s="2" t="n">
        <v>2669.77</v>
      </c>
      <c r="C167" s="1" t="n">
        <v>9.48</v>
      </c>
      <c r="D167" s="1" t="n">
        <v>18</v>
      </c>
      <c r="E167" s="4" t="n">
        <f aca="false">D167*C167</f>
        <v>170.64</v>
      </c>
      <c r="F167" s="3" t="n">
        <v>2.9256684</v>
      </c>
      <c r="G167" s="4" t="n">
        <v>17.1452672292546</v>
      </c>
    </row>
    <row r="168" customFormat="false" ht="13.8" hidden="false" customHeight="false" outlineLevel="0" collapsed="false">
      <c r="A168" s="1" t="n">
        <v>1764</v>
      </c>
      <c r="B168" s="2" t="n">
        <v>2695.05</v>
      </c>
      <c r="C168" s="1" t="n">
        <v>9.9</v>
      </c>
      <c r="D168" s="1" t="n">
        <v>18</v>
      </c>
      <c r="E168" s="4" t="n">
        <f aca="false">D168*C168</f>
        <v>178.2</v>
      </c>
      <c r="F168" s="3" t="n">
        <v>3.01185088</v>
      </c>
      <c r="G168" s="4" t="n">
        <v>16.9015200897868</v>
      </c>
    </row>
    <row r="169" customFormat="false" ht="13.8" hidden="false" customHeight="false" outlineLevel="0" collapsed="false">
      <c r="A169" s="1" t="n">
        <v>1768</v>
      </c>
      <c r="B169" s="2" t="n">
        <v>2730.72</v>
      </c>
      <c r="C169" s="1" t="n">
        <v>10.2</v>
      </c>
      <c r="D169" s="1" t="n">
        <v>18</v>
      </c>
      <c r="E169" s="4" t="n">
        <f aca="false">D169*C169</f>
        <v>183.6</v>
      </c>
      <c r="F169" s="3" t="n">
        <v>3.10256928</v>
      </c>
      <c r="G169" s="4" t="n">
        <v>16.8985254901961</v>
      </c>
    </row>
    <row r="170" customFormat="false" ht="13.8" hidden="false" customHeight="false" outlineLevel="0" collapsed="false">
      <c r="A170" s="1" t="n">
        <v>1772</v>
      </c>
      <c r="B170" s="2" t="n">
        <v>2765.81</v>
      </c>
      <c r="C170" s="1" t="n">
        <v>10.53</v>
      </c>
      <c r="D170" s="1" t="n">
        <v>18</v>
      </c>
      <c r="E170" s="4" t="n">
        <f aca="false">D170*C170</f>
        <v>189.54</v>
      </c>
      <c r="F170" s="3" t="n">
        <v>3.14792848</v>
      </c>
      <c r="G170" s="4" t="n">
        <v>16.6082540888467</v>
      </c>
    </row>
    <row r="171" customFormat="false" ht="13.8" hidden="false" customHeight="false" outlineLevel="0" collapsed="false">
      <c r="A171" s="1" t="n">
        <v>1776</v>
      </c>
      <c r="B171" s="2" t="n">
        <v>2809.11</v>
      </c>
      <c r="C171" s="1" t="n">
        <v>10.81</v>
      </c>
      <c r="D171" s="1" t="n">
        <v>18</v>
      </c>
      <c r="E171" s="4" t="n">
        <f aca="false">D171*C171</f>
        <v>194.58</v>
      </c>
      <c r="F171" s="3" t="n">
        <v>3.20689544</v>
      </c>
      <c r="G171" s="4" t="n">
        <v>16.4811154281016</v>
      </c>
    </row>
    <row r="172" customFormat="false" ht="13.8" hidden="false" customHeight="false" outlineLevel="0" collapsed="false">
      <c r="A172" s="1" t="n">
        <v>1780</v>
      </c>
      <c r="B172" s="2" t="n">
        <v>2822.83</v>
      </c>
      <c r="C172" s="1" t="n">
        <v>11.18</v>
      </c>
      <c r="D172" s="1" t="n">
        <v>18</v>
      </c>
      <c r="E172" s="4" t="n">
        <f aca="false">D172*C172</f>
        <v>201.24</v>
      </c>
      <c r="F172" s="3" t="n">
        <v>3.2658624</v>
      </c>
      <c r="G172" s="4" t="n">
        <v>16.2286940966011</v>
      </c>
    </row>
    <row r="173" customFormat="false" ht="13.8" hidden="false" customHeight="false" outlineLevel="0" collapsed="false">
      <c r="A173" s="1" t="n">
        <v>1784</v>
      </c>
      <c r="B173" s="2" t="n">
        <v>2849.51</v>
      </c>
      <c r="C173" s="1" t="n">
        <v>11.58</v>
      </c>
      <c r="D173" s="1" t="n">
        <v>18</v>
      </c>
      <c r="E173" s="4" t="n">
        <f aca="false">D173*C173</f>
        <v>208.44</v>
      </c>
      <c r="F173" s="3" t="n">
        <v>3.39286816</v>
      </c>
      <c r="G173" s="4" t="n">
        <v>16.2774331222414</v>
      </c>
    </row>
    <row r="174" customFormat="false" ht="13.8" hidden="false" customHeight="false" outlineLevel="0" collapsed="false">
      <c r="A174" s="1" t="n">
        <v>1788</v>
      </c>
      <c r="B174" s="2" t="n">
        <v>2893.66</v>
      </c>
      <c r="C174" s="1" t="n">
        <v>11.88</v>
      </c>
      <c r="D174" s="1" t="n">
        <v>18</v>
      </c>
      <c r="E174" s="4" t="n">
        <f aca="false">D174*C174</f>
        <v>213.84</v>
      </c>
      <c r="F174" s="3" t="n">
        <v>3.45637104</v>
      </c>
      <c r="G174" s="4" t="n">
        <v>16.1633512906846</v>
      </c>
    </row>
    <row r="175" customFormat="false" ht="13.8" hidden="false" customHeight="false" outlineLevel="0" collapsed="false">
      <c r="A175" s="1" t="n">
        <v>1792</v>
      </c>
      <c r="B175" s="2" t="n">
        <v>2914.44</v>
      </c>
      <c r="C175" s="1" t="n">
        <v>12.29</v>
      </c>
      <c r="D175" s="1" t="n">
        <v>18</v>
      </c>
      <c r="E175" s="4" t="n">
        <f aca="false">D175*C175</f>
        <v>221.22</v>
      </c>
      <c r="F175" s="3" t="n">
        <v>3.5380176</v>
      </c>
      <c r="G175" s="4" t="n">
        <v>15.9932085706536</v>
      </c>
    </row>
    <row r="176" customFormat="false" ht="13.8" hidden="false" customHeight="false" outlineLevel="0" collapsed="false">
      <c r="A176" s="1" t="n">
        <v>1796</v>
      </c>
      <c r="B176" s="2" t="n">
        <v>2959.85</v>
      </c>
      <c r="C176" s="1" t="n">
        <v>12.59</v>
      </c>
      <c r="D176" s="1" t="n">
        <v>18</v>
      </c>
      <c r="E176" s="4" t="n">
        <f aca="false">D176*C176</f>
        <v>226.62</v>
      </c>
      <c r="F176" s="3" t="n">
        <v>3.628736</v>
      </c>
      <c r="G176" s="4" t="n">
        <v>16.0124260877239</v>
      </c>
    </row>
    <row r="177" customFormat="false" ht="13.8" hidden="false" customHeight="false" outlineLevel="0" collapsed="false">
      <c r="A177" s="1" t="n">
        <v>1800</v>
      </c>
      <c r="B177" s="2" t="n">
        <v>2984.66</v>
      </c>
      <c r="C177" s="1" t="n">
        <v>13.12</v>
      </c>
      <c r="D177" s="1" t="n">
        <v>18</v>
      </c>
      <c r="E177" s="4" t="n">
        <f aca="false">D177*C177</f>
        <v>236.16</v>
      </c>
      <c r="F177" s="3" t="n">
        <v>3.72399032</v>
      </c>
      <c r="G177" s="4" t="n">
        <v>15.768929200542</v>
      </c>
    </row>
    <row r="178" customFormat="false" ht="13.8" hidden="false" customHeight="false" outlineLevel="0" collapsed="false">
      <c r="A178" s="1" t="n">
        <v>1804</v>
      </c>
      <c r="B178" s="2" t="n">
        <v>3026.46</v>
      </c>
      <c r="C178" s="1" t="n">
        <v>13.5</v>
      </c>
      <c r="D178" s="1" t="n">
        <v>18</v>
      </c>
      <c r="E178" s="4" t="n">
        <f aca="false">D178*C178</f>
        <v>243</v>
      </c>
      <c r="F178" s="3" t="n">
        <v>3.79202912</v>
      </c>
      <c r="G178" s="4" t="n">
        <v>15.6050581069959</v>
      </c>
    </row>
    <row r="179" customFormat="false" ht="13.8" hidden="false" customHeight="false" outlineLevel="0" collapsed="false">
      <c r="A179" s="1" t="n">
        <v>1808</v>
      </c>
      <c r="B179" s="2" t="n">
        <v>3055.48</v>
      </c>
      <c r="C179" s="1" t="n">
        <v>14.04</v>
      </c>
      <c r="D179" s="1" t="n">
        <v>18</v>
      </c>
      <c r="E179" s="4" t="n">
        <f aca="false">D179*C179</f>
        <v>252.72</v>
      </c>
      <c r="F179" s="3" t="n">
        <v>3.9235708</v>
      </c>
      <c r="G179" s="4" t="n">
        <v>15.5253672048117</v>
      </c>
    </row>
    <row r="180" customFormat="false" ht="13.8" hidden="false" customHeight="false" outlineLevel="0" collapsed="false">
      <c r="A180" s="1" t="n">
        <v>1812</v>
      </c>
      <c r="B180" s="2" t="n">
        <v>3088.69</v>
      </c>
      <c r="C180" s="1" t="n">
        <v>14.49</v>
      </c>
      <c r="D180" s="1" t="n">
        <v>18</v>
      </c>
      <c r="E180" s="4" t="n">
        <f aca="false">D180*C180</f>
        <v>260.82</v>
      </c>
      <c r="F180" s="3" t="n">
        <v>4.01882512</v>
      </c>
      <c r="G180" s="4" t="n">
        <v>15.4084238938732</v>
      </c>
    </row>
    <row r="181" customFormat="false" ht="13.8" hidden="false" customHeight="false" outlineLevel="0" collapsed="false">
      <c r="A181" s="1" t="n">
        <v>1816</v>
      </c>
      <c r="B181" s="2" t="n">
        <v>3124.31</v>
      </c>
      <c r="C181" s="1" t="n">
        <v>15.09</v>
      </c>
      <c r="D181" s="1" t="n">
        <v>18</v>
      </c>
      <c r="E181" s="4" t="n">
        <f aca="false">D181*C181</f>
        <v>271.62</v>
      </c>
      <c r="F181" s="3" t="n">
        <v>4.14129496</v>
      </c>
      <c r="G181" s="4" t="n">
        <v>15.2466495839776</v>
      </c>
    </row>
    <row r="182" customFormat="false" ht="13.8" hidden="false" customHeight="false" outlineLevel="0" collapsed="false">
      <c r="A182" s="1" t="n">
        <v>1820</v>
      </c>
      <c r="B182" s="2" t="n">
        <v>3179.56</v>
      </c>
      <c r="C182" s="1" t="n">
        <v>15.55</v>
      </c>
      <c r="D182" s="1" t="n">
        <v>18</v>
      </c>
      <c r="E182" s="4" t="n">
        <f aca="false">D182*C182</f>
        <v>279.9</v>
      </c>
      <c r="F182" s="3" t="n">
        <v>4.20933376</v>
      </c>
      <c r="G182" s="4" t="n">
        <v>15.0387058235084</v>
      </c>
    </row>
    <row r="183" customFormat="false" ht="13.8" hidden="false" customHeight="false" outlineLevel="0" collapsed="false">
      <c r="A183" s="1" t="n">
        <v>1824</v>
      </c>
      <c r="B183" s="2" t="n">
        <v>3221.84</v>
      </c>
      <c r="C183" s="1" t="n">
        <v>16.14</v>
      </c>
      <c r="D183" s="1" t="n">
        <v>18</v>
      </c>
      <c r="E183" s="4" t="n">
        <f aca="false">D183*C183</f>
        <v>290.52</v>
      </c>
      <c r="F183" s="3" t="n">
        <v>4.31819584</v>
      </c>
      <c r="G183" s="4" t="n">
        <v>14.8636783698196</v>
      </c>
    </row>
    <row r="184" customFormat="false" ht="13.8" hidden="false" customHeight="false" outlineLevel="0" collapsed="false">
      <c r="A184" s="1" t="n">
        <v>1828</v>
      </c>
      <c r="B184" s="2" t="n">
        <v>3265.26</v>
      </c>
      <c r="C184" s="1" t="n">
        <v>16.66</v>
      </c>
      <c r="D184" s="1" t="n">
        <v>18</v>
      </c>
      <c r="E184" s="4" t="n">
        <f aca="false">D184*C184</f>
        <v>299.88</v>
      </c>
      <c r="F184" s="3" t="n">
        <v>4.40891424</v>
      </c>
      <c r="G184" s="4" t="n">
        <v>14.7022617046819</v>
      </c>
    </row>
    <row r="185" customFormat="false" ht="13.8" hidden="false" customHeight="false" outlineLevel="0" collapsed="false">
      <c r="A185" s="1" t="n">
        <v>1832</v>
      </c>
      <c r="B185" s="2" t="n">
        <v>3283.27</v>
      </c>
      <c r="C185" s="1" t="n">
        <v>17.32</v>
      </c>
      <c r="D185" s="1" t="n">
        <v>18</v>
      </c>
      <c r="E185" s="4" t="n">
        <f aca="false">D185*C185</f>
        <v>311.76</v>
      </c>
      <c r="F185" s="3" t="n">
        <v>4.53592</v>
      </c>
      <c r="G185" s="4" t="n">
        <v>14.5493969720298</v>
      </c>
    </row>
    <row r="186" customFormat="false" ht="13.8" hidden="false" customHeight="false" outlineLevel="0" collapsed="false">
      <c r="A186" s="1" t="n">
        <v>1836</v>
      </c>
      <c r="B186" s="2" t="n">
        <v>3323.57</v>
      </c>
      <c r="C186" s="1" t="n">
        <v>17.89</v>
      </c>
      <c r="D186" s="1" t="n">
        <v>18</v>
      </c>
      <c r="E186" s="4" t="n">
        <f aca="false">D186*C186</f>
        <v>322.02</v>
      </c>
      <c r="F186" s="3" t="n">
        <v>4.66746168</v>
      </c>
      <c r="G186" s="4" t="n">
        <v>14.4943223402273</v>
      </c>
    </row>
    <row r="187" customFormat="false" ht="13.8" hidden="false" customHeight="false" outlineLevel="0" collapsed="false">
      <c r="A187" s="1" t="n">
        <v>1840</v>
      </c>
      <c r="B187" s="2" t="n">
        <v>3375.25</v>
      </c>
      <c r="C187" s="1" t="n">
        <v>18.45</v>
      </c>
      <c r="D187" s="1" t="n">
        <v>18</v>
      </c>
      <c r="E187" s="4" t="n">
        <f aca="false">D187*C187</f>
        <v>332.1</v>
      </c>
      <c r="F187" s="3" t="n">
        <v>4.6946772</v>
      </c>
      <c r="G187" s="4" t="n">
        <v>14.1363360433604</v>
      </c>
    </row>
    <row r="188" customFormat="false" ht="13.8" hidden="false" customHeight="false" outlineLevel="0" collapsed="false">
      <c r="A188" s="1" t="n">
        <v>1844</v>
      </c>
      <c r="B188" s="2" t="n">
        <v>3390.58</v>
      </c>
      <c r="C188" s="1" t="n">
        <v>19.27</v>
      </c>
      <c r="D188" s="1" t="n">
        <v>18</v>
      </c>
      <c r="E188" s="4" t="n">
        <f aca="false">D188*C188</f>
        <v>346.86</v>
      </c>
      <c r="F188" s="3" t="n">
        <v>4.86250624</v>
      </c>
      <c r="G188" s="4" t="n">
        <v>14.0186422187626</v>
      </c>
    </row>
    <row r="189" customFormat="false" ht="13.8" hidden="false" customHeight="false" outlineLevel="0" collapsed="false">
      <c r="A189" s="1" t="n">
        <v>1848</v>
      </c>
      <c r="B189" s="2" t="n">
        <v>3417.4</v>
      </c>
      <c r="C189" s="1" t="n">
        <v>19.72</v>
      </c>
      <c r="D189" s="1" t="n">
        <v>18</v>
      </c>
      <c r="E189" s="4" t="n">
        <f aca="false">D189*C189</f>
        <v>354.96</v>
      </c>
      <c r="F189" s="3" t="n">
        <v>4.91693728</v>
      </c>
      <c r="G189" s="4" t="n">
        <v>13.8520883479829</v>
      </c>
    </row>
    <row r="190" customFormat="false" ht="13.8" hidden="false" customHeight="false" outlineLevel="0" collapsed="false">
      <c r="A190" s="1" t="n">
        <v>1852</v>
      </c>
      <c r="B190" s="2" t="n">
        <v>3445.95</v>
      </c>
      <c r="C190" s="1" t="n">
        <v>20.38</v>
      </c>
      <c r="D190" s="1" t="n">
        <v>18</v>
      </c>
      <c r="E190" s="4" t="n">
        <f aca="false">D190*C190</f>
        <v>366.84</v>
      </c>
      <c r="F190" s="3" t="n">
        <v>5.01672752</v>
      </c>
      <c r="G190" s="4" t="n">
        <v>13.675519354487</v>
      </c>
    </row>
    <row r="191" customFormat="false" ht="13.8" hidden="false" customHeight="false" outlineLevel="0" collapsed="false">
      <c r="A191" s="1" t="n">
        <v>1856</v>
      </c>
      <c r="B191" s="2" t="n">
        <v>3481.79</v>
      </c>
      <c r="C191" s="1" t="n">
        <v>21.03</v>
      </c>
      <c r="D191" s="1" t="n">
        <v>18</v>
      </c>
      <c r="E191" s="4" t="n">
        <f aca="false">D191*C191</f>
        <v>378.54</v>
      </c>
      <c r="F191" s="3" t="n">
        <v>5.12105368</v>
      </c>
      <c r="G191" s="4" t="n">
        <v>13.5284347228827</v>
      </c>
    </row>
    <row r="192" customFormat="false" ht="13.8" hidden="false" customHeight="false" outlineLevel="0" collapsed="false">
      <c r="A192" s="1" t="n">
        <v>1860</v>
      </c>
      <c r="B192" s="2" t="n">
        <v>3513.13</v>
      </c>
      <c r="C192" s="1" t="n">
        <v>21.6</v>
      </c>
      <c r="D192" s="1" t="n">
        <v>18</v>
      </c>
      <c r="E192" s="4" t="n">
        <f aca="false">D192*C192</f>
        <v>388.8</v>
      </c>
      <c r="F192" s="3" t="n">
        <v>5.20723616</v>
      </c>
      <c r="G192" s="4" t="n">
        <v>13.3930971193416</v>
      </c>
    </row>
    <row r="193" customFormat="false" ht="13.8" hidden="false" customHeight="false" outlineLevel="0" collapsed="false">
      <c r="A193" s="1" t="n">
        <v>1864</v>
      </c>
      <c r="B193" s="2" t="n">
        <v>3542.39</v>
      </c>
      <c r="C193" s="1" t="n">
        <v>22.29</v>
      </c>
      <c r="D193" s="1" t="n">
        <v>18</v>
      </c>
      <c r="E193" s="4" t="n">
        <f aca="false">D193*C193</f>
        <v>401.22</v>
      </c>
      <c r="F193" s="3" t="n">
        <v>5.29341864</v>
      </c>
      <c r="G193" s="4" t="n">
        <v>13.1933070136085</v>
      </c>
    </row>
    <row r="194" customFormat="false" ht="13.8" hidden="false" customHeight="false" outlineLevel="0" collapsed="false">
      <c r="A194" s="1" t="n">
        <v>1868</v>
      </c>
      <c r="B194" s="2" t="n">
        <v>3571.96</v>
      </c>
      <c r="C194" s="1" t="n">
        <v>22.87</v>
      </c>
      <c r="D194" s="1" t="n">
        <v>18</v>
      </c>
      <c r="E194" s="4" t="n">
        <f aca="false">D194*C194</f>
        <v>411.66</v>
      </c>
      <c r="F194" s="3" t="n">
        <v>5.38413704</v>
      </c>
      <c r="G194" s="4" t="n">
        <v>13.07908720789</v>
      </c>
    </row>
    <row r="195" customFormat="false" ht="13.8" hidden="false" customHeight="false" outlineLevel="0" collapsed="false">
      <c r="A195" s="1" t="n">
        <v>1872</v>
      </c>
      <c r="B195" s="2" t="n">
        <v>3597.34</v>
      </c>
      <c r="C195" s="1" t="n">
        <v>23.55</v>
      </c>
      <c r="D195" s="1" t="n">
        <v>18</v>
      </c>
      <c r="E195" s="4" t="n">
        <f aca="false">D195*C195</f>
        <v>423.9</v>
      </c>
      <c r="F195" s="3" t="n">
        <v>5.49753504</v>
      </c>
      <c r="G195" s="4" t="n">
        <v>12.9689432413305</v>
      </c>
    </row>
    <row r="196" customFormat="false" ht="13.8" hidden="false" customHeight="false" outlineLevel="0" collapsed="false">
      <c r="A196" s="1" t="n">
        <v>1876</v>
      </c>
      <c r="B196" s="2" t="n">
        <v>3619.05</v>
      </c>
      <c r="C196" s="1" t="n">
        <v>24.23</v>
      </c>
      <c r="D196" s="1" t="n">
        <v>18</v>
      </c>
      <c r="E196" s="4" t="n">
        <f aca="false">D196*C196</f>
        <v>436.14</v>
      </c>
      <c r="F196" s="3" t="n">
        <v>5.59732528</v>
      </c>
      <c r="G196" s="4" t="n">
        <v>12.8337810794699</v>
      </c>
    </row>
    <row r="197" customFormat="false" ht="13.8" hidden="false" customHeight="false" outlineLevel="0" collapsed="false">
      <c r="A197" s="1" t="n">
        <v>1880</v>
      </c>
      <c r="B197" s="2" t="n">
        <v>3636.57</v>
      </c>
      <c r="C197" s="1" t="n">
        <v>24.77</v>
      </c>
      <c r="D197" s="1" t="n">
        <v>18</v>
      </c>
      <c r="E197" s="4" t="n">
        <f aca="false">D197*C197</f>
        <v>445.86</v>
      </c>
      <c r="F197" s="3" t="n">
        <v>5.66536408</v>
      </c>
      <c r="G197" s="4" t="n">
        <v>12.7065986632575</v>
      </c>
    </row>
    <row r="198" customFormat="false" ht="13.8" hidden="false" customHeight="false" outlineLevel="0" collapsed="false">
      <c r="A198" s="1" t="n">
        <v>1884</v>
      </c>
      <c r="B198" s="2" t="n">
        <v>3653.12</v>
      </c>
      <c r="C198" s="1" t="n">
        <v>25.48</v>
      </c>
      <c r="D198" s="1" t="n">
        <v>18</v>
      </c>
      <c r="E198" s="4" t="n">
        <f aca="false">D198*C198</f>
        <v>458.64</v>
      </c>
      <c r="F198" s="3" t="n">
        <v>5.76969024</v>
      </c>
      <c r="G198" s="4" t="n">
        <v>12.5799979068551</v>
      </c>
    </row>
    <row r="199" customFormat="false" ht="13.8" hidden="false" customHeight="false" outlineLevel="0" collapsed="false">
      <c r="A199" s="1" t="n">
        <v>1888</v>
      </c>
      <c r="B199" s="2" t="n">
        <v>3687.17</v>
      </c>
      <c r="C199" s="1" t="n">
        <v>26.04</v>
      </c>
      <c r="D199" s="1" t="n">
        <v>18</v>
      </c>
      <c r="E199" s="4" t="n">
        <f aca="false">D199*C199</f>
        <v>468.72</v>
      </c>
      <c r="F199" s="3" t="n">
        <v>5.82412128</v>
      </c>
      <c r="G199" s="4" t="n">
        <v>12.4255873015873</v>
      </c>
    </row>
    <row r="200" customFormat="false" ht="13.8" hidden="false" customHeight="false" outlineLevel="0" collapsed="false">
      <c r="A200" s="1" t="n">
        <v>1892</v>
      </c>
      <c r="B200" s="2" t="n">
        <v>3711.22</v>
      </c>
      <c r="C200" s="1" t="n">
        <v>26.74</v>
      </c>
      <c r="D200" s="1" t="n">
        <v>18</v>
      </c>
      <c r="E200" s="4" t="n">
        <f aca="false">D200*C200</f>
        <v>481.32</v>
      </c>
      <c r="F200" s="3" t="n">
        <v>5.896696</v>
      </c>
      <c r="G200" s="4" t="n">
        <v>12.2510928280562</v>
      </c>
    </row>
    <row r="201" customFormat="false" ht="13.8" hidden="false" customHeight="false" outlineLevel="0" collapsed="false">
      <c r="A201" s="1" t="n">
        <v>1896</v>
      </c>
      <c r="B201" s="2" t="n">
        <v>3751.01</v>
      </c>
      <c r="C201" s="1" t="n">
        <v>27.22</v>
      </c>
      <c r="D201" s="1" t="n">
        <v>18</v>
      </c>
      <c r="E201" s="4" t="n">
        <f aca="false">D201*C201</f>
        <v>489.96</v>
      </c>
      <c r="F201" s="3" t="n">
        <v>5.98287848</v>
      </c>
      <c r="G201" s="4" t="n">
        <v>12.2109528941138</v>
      </c>
    </row>
    <row r="202" customFormat="false" ht="13.8" hidden="false" customHeight="false" outlineLevel="0" collapsed="false">
      <c r="A202" s="1" t="n">
        <v>1900</v>
      </c>
      <c r="B202" s="2" t="n">
        <v>3741.815</v>
      </c>
      <c r="C202" s="1" t="n">
        <v>27.57</v>
      </c>
      <c r="D202" s="1" t="n">
        <v>18</v>
      </c>
      <c r="E202" s="4" t="n">
        <v>496.26</v>
      </c>
      <c r="F202" s="3" t="n">
        <v>6.01614189333333</v>
      </c>
      <c r="G202" s="4" t="n">
        <v>12.1229725488621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8.75" defaultRowHeight="13.8" customHeight="false" zeroHeight="false" outlineLevelRow="0" outlineLevelCol="0"/>
  <cols>
    <col collapsed="false" customWidth="true" hidden="false" outlineLevel="0" max="1" min="1" style="1" width="9.59"/>
    <col collapsed="false" customWidth="true" hidden="false" outlineLevel="0" max="2" min="2" style="2" width="9.13"/>
    <col collapsed="false" customWidth="true" hidden="false" outlineLevel="0" max="3" min="3" style="1" width="10.99"/>
    <col collapsed="false" customWidth="true" hidden="false" outlineLevel="0" max="4" min="4" style="1" width="11.14"/>
    <col collapsed="false" customWidth="true" hidden="false" outlineLevel="0" max="5" min="5" style="1" width="10.29"/>
    <col collapsed="false" customWidth="true" hidden="false" outlineLevel="0" max="6" min="6" style="1" width="10.99"/>
    <col collapsed="false" customWidth="true" hidden="false" outlineLevel="0" max="7" min="7" style="1" width="15.4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n">
        <v>1100</v>
      </c>
      <c r="B2" s="2" t="n">
        <v>3782.50833333333</v>
      </c>
      <c r="C2" s="3" t="n">
        <v>32.1733333333333</v>
      </c>
      <c r="D2" s="1" t="n">
        <v>20</v>
      </c>
      <c r="E2" s="4" t="n">
        <v>643.466666666667</v>
      </c>
      <c r="F2" s="3" t="n">
        <v>-5.03562718666667</v>
      </c>
      <c r="G2" s="4" t="n">
        <v>7.82579433826272</v>
      </c>
      <c r="I2" s="3"/>
    </row>
    <row r="3" customFormat="false" ht="13.8" hidden="false" customHeight="false" outlineLevel="0" collapsed="false">
      <c r="A3" s="1" t="n">
        <v>1104</v>
      </c>
      <c r="B3" s="2" t="n">
        <v>3777.39</v>
      </c>
      <c r="C3" s="1" t="n">
        <v>31.37</v>
      </c>
      <c r="D3" s="1" t="n">
        <v>20</v>
      </c>
      <c r="E3" s="4" t="n">
        <f aca="false">D3*C3</f>
        <v>627.4</v>
      </c>
      <c r="F3" s="3" t="n">
        <v>-4.95776056</v>
      </c>
      <c r="G3" s="4" t="n">
        <v>7.90207293592605</v>
      </c>
      <c r="I3" s="3"/>
    </row>
    <row r="4" customFormat="false" ht="13.8" hidden="false" customHeight="false" outlineLevel="0" collapsed="false">
      <c r="A4" s="1" t="n">
        <v>1108</v>
      </c>
      <c r="B4" s="2" t="n">
        <v>3740.1</v>
      </c>
      <c r="C4" s="1" t="n">
        <v>30.6</v>
      </c>
      <c r="D4" s="1" t="n">
        <v>20</v>
      </c>
      <c r="E4" s="4" t="n">
        <f aca="false">D4*C4</f>
        <v>612</v>
      </c>
      <c r="F4" s="3" t="n">
        <v>-4.9214732</v>
      </c>
      <c r="G4" s="4" t="n">
        <v>8.04162287581699</v>
      </c>
      <c r="I4" s="3"/>
    </row>
    <row r="5" customFormat="false" ht="13.8" hidden="false" customHeight="false" outlineLevel="0" collapsed="false">
      <c r="A5" s="1" t="n">
        <v>1112</v>
      </c>
      <c r="B5" s="2" t="n">
        <v>3740.6</v>
      </c>
      <c r="C5" s="1" t="n">
        <v>29.67</v>
      </c>
      <c r="D5" s="1" t="n">
        <v>20</v>
      </c>
      <c r="E5" s="4" t="n">
        <f aca="false">D5*C5</f>
        <v>593.4</v>
      </c>
      <c r="F5" s="3" t="n">
        <v>-4.84436256</v>
      </c>
      <c r="G5" s="4" t="n">
        <v>8.16373872598584</v>
      </c>
      <c r="I5" s="3"/>
    </row>
    <row r="6" customFormat="false" ht="13.8" hidden="false" customHeight="false" outlineLevel="0" collapsed="false">
      <c r="A6" s="1" t="n">
        <v>1116</v>
      </c>
      <c r="B6" s="2" t="n">
        <v>3712.14</v>
      </c>
      <c r="C6" s="1" t="n">
        <v>29.04</v>
      </c>
      <c r="D6" s="1" t="n">
        <v>20</v>
      </c>
      <c r="E6" s="4" t="n">
        <f aca="false">D6*C6</f>
        <v>580.8</v>
      </c>
      <c r="F6" s="3" t="n">
        <v>-4.79446744</v>
      </c>
      <c r="G6" s="4" t="n">
        <v>8.2549370523416</v>
      </c>
      <c r="I6" s="3"/>
    </row>
    <row r="7" customFormat="false" ht="13.8" hidden="false" customHeight="false" outlineLevel="0" collapsed="false">
      <c r="A7" s="1" t="n">
        <v>1120</v>
      </c>
      <c r="B7" s="2" t="n">
        <v>3680.92</v>
      </c>
      <c r="C7" s="1" t="n">
        <v>28.26</v>
      </c>
      <c r="D7" s="1" t="n">
        <v>20</v>
      </c>
      <c r="E7" s="4" t="n">
        <f aca="false">D7*C7</f>
        <v>565.2</v>
      </c>
      <c r="F7" s="3" t="n">
        <v>-4.74457232</v>
      </c>
      <c r="G7" s="4" t="n">
        <v>8.39450162774239</v>
      </c>
      <c r="I7" s="3"/>
    </row>
    <row r="8" customFormat="false" ht="13.8" hidden="false" customHeight="false" outlineLevel="0" collapsed="false">
      <c r="A8" s="1" t="n">
        <v>1124</v>
      </c>
      <c r="B8" s="2" t="n">
        <v>3639</v>
      </c>
      <c r="C8" s="1" t="n">
        <v>27.56</v>
      </c>
      <c r="D8" s="1" t="n">
        <v>20</v>
      </c>
      <c r="E8" s="4" t="n">
        <f aca="false">D8*C8</f>
        <v>551.2</v>
      </c>
      <c r="F8" s="3" t="n">
        <v>-4.68</v>
      </c>
      <c r="G8" s="4" t="n">
        <v>8.5</v>
      </c>
      <c r="I8" s="3"/>
    </row>
    <row r="9" customFormat="false" ht="13.8" hidden="false" customHeight="false" outlineLevel="0" collapsed="false">
      <c r="A9" s="1" t="n">
        <v>1128</v>
      </c>
      <c r="B9" s="2" t="n">
        <v>3641.61</v>
      </c>
      <c r="C9" s="1" t="n">
        <v>26.74</v>
      </c>
      <c r="D9" s="1" t="n">
        <v>20</v>
      </c>
      <c r="E9" s="4" t="n">
        <f aca="false">D9*C9</f>
        <v>534.8</v>
      </c>
      <c r="F9" s="3" t="n">
        <v>-4.57674328</v>
      </c>
      <c r="G9" s="4" t="n">
        <v>8.55785953627524</v>
      </c>
      <c r="I9" s="3"/>
    </row>
    <row r="10" customFormat="false" ht="13.8" hidden="false" customHeight="false" outlineLevel="0" collapsed="false">
      <c r="A10" s="1" t="n">
        <v>1132</v>
      </c>
      <c r="B10" s="2" t="n">
        <v>3624.44</v>
      </c>
      <c r="C10" s="1" t="n">
        <v>25.82</v>
      </c>
      <c r="D10" s="1" t="n">
        <v>20</v>
      </c>
      <c r="E10" s="4" t="n">
        <f aca="false">D10*C10</f>
        <v>516.4</v>
      </c>
      <c r="F10" s="3" t="n">
        <v>-4.46334528</v>
      </c>
      <c r="G10" s="4" t="n">
        <v>8.64319380325329</v>
      </c>
      <c r="I10" s="3"/>
    </row>
    <row r="11" customFormat="false" ht="13.8" hidden="false" customHeight="false" outlineLevel="0" collapsed="false">
      <c r="A11" s="1" t="n">
        <v>1136</v>
      </c>
      <c r="B11" s="2" t="n">
        <v>3569.48</v>
      </c>
      <c r="C11" s="1" t="n">
        <v>25.16</v>
      </c>
      <c r="D11" s="1" t="n">
        <v>20</v>
      </c>
      <c r="E11" s="4" t="n">
        <f aca="false">D11*C11</f>
        <v>503.2</v>
      </c>
      <c r="F11" s="3" t="n">
        <v>-4.40437832</v>
      </c>
      <c r="G11" s="4" t="n">
        <v>8.75273910969793</v>
      </c>
      <c r="I11" s="3"/>
    </row>
    <row r="12" customFormat="false" ht="13.8" hidden="false" customHeight="false" outlineLevel="0" collapsed="false">
      <c r="A12" s="1" t="n">
        <v>1140</v>
      </c>
      <c r="B12" s="2" t="n">
        <v>3558.46</v>
      </c>
      <c r="C12" s="1" t="n">
        <v>24.45</v>
      </c>
      <c r="D12" s="1" t="n">
        <v>20</v>
      </c>
      <c r="E12" s="4" t="n">
        <f aca="false">D12*C12</f>
        <v>489</v>
      </c>
      <c r="F12" s="3" t="n">
        <v>-4.34994728</v>
      </c>
      <c r="G12" s="4" t="n">
        <v>8.89559770961145</v>
      </c>
      <c r="I12" s="3"/>
    </row>
    <row r="13" customFormat="false" ht="13.8" hidden="false" customHeight="false" outlineLevel="0" collapsed="false">
      <c r="A13" s="1" t="n">
        <v>1144</v>
      </c>
      <c r="B13" s="2" t="n">
        <v>3570.84</v>
      </c>
      <c r="C13" s="1" t="n">
        <v>23.54</v>
      </c>
      <c r="D13" s="1" t="n">
        <v>20</v>
      </c>
      <c r="E13" s="4" t="n">
        <f aca="false">D13*C13</f>
        <v>470.8</v>
      </c>
      <c r="F13" s="3" t="n">
        <v>-4.22747744</v>
      </c>
      <c r="G13" s="4" t="n">
        <v>8.97934885301614</v>
      </c>
      <c r="I13" s="3"/>
    </row>
    <row r="14" customFormat="false" ht="13.8" hidden="false" customHeight="false" outlineLevel="0" collapsed="false">
      <c r="A14" s="1" t="n">
        <v>1148</v>
      </c>
      <c r="B14" s="2" t="n">
        <v>3497.5</v>
      </c>
      <c r="C14" s="1" t="n">
        <v>23.08</v>
      </c>
      <c r="D14" s="1" t="n">
        <v>20</v>
      </c>
      <c r="E14" s="4" t="n">
        <f aca="false">D14*C14</f>
        <v>461.6</v>
      </c>
      <c r="F14" s="3" t="n">
        <v>-4.15943864</v>
      </c>
      <c r="G14" s="4" t="n">
        <v>9.01091559792028</v>
      </c>
      <c r="I14" s="3"/>
    </row>
    <row r="15" customFormat="false" ht="13.8" hidden="false" customHeight="false" outlineLevel="0" collapsed="false">
      <c r="A15" s="1" t="n">
        <v>1152</v>
      </c>
      <c r="B15" s="2" t="n">
        <v>3449.42</v>
      </c>
      <c r="C15" s="1" t="n">
        <v>22.46</v>
      </c>
      <c r="D15" s="1" t="n">
        <v>20</v>
      </c>
      <c r="E15" s="4" t="n">
        <f aca="false">D15*C15</f>
        <v>449.2</v>
      </c>
      <c r="F15" s="3" t="n">
        <v>-4.11861536</v>
      </c>
      <c r="G15" s="4" t="n">
        <v>9.1687786286732</v>
      </c>
      <c r="I15" s="3"/>
    </row>
    <row r="16" customFormat="false" ht="13.8" hidden="false" customHeight="false" outlineLevel="0" collapsed="false">
      <c r="A16" s="1" t="n">
        <v>1156</v>
      </c>
      <c r="B16" s="2" t="n">
        <v>3456.78</v>
      </c>
      <c r="C16" s="1" t="n">
        <v>21.63</v>
      </c>
      <c r="D16" s="1" t="n">
        <v>20</v>
      </c>
      <c r="E16" s="4" t="n">
        <f aca="false">D16*C16</f>
        <v>432.6</v>
      </c>
      <c r="F16" s="3" t="n">
        <v>-4.01882512</v>
      </c>
      <c r="G16" s="4" t="n">
        <v>9.28993324086916</v>
      </c>
      <c r="I16" s="3"/>
    </row>
    <row r="17" customFormat="false" ht="13.8" hidden="false" customHeight="false" outlineLevel="0" collapsed="false">
      <c r="A17" s="1" t="n">
        <v>1160</v>
      </c>
      <c r="B17" s="2" t="n">
        <v>3389.67</v>
      </c>
      <c r="C17" s="1" t="n">
        <v>21</v>
      </c>
      <c r="D17" s="1" t="n">
        <v>20</v>
      </c>
      <c r="E17" s="4" t="n">
        <f aca="false">D17*C17</f>
        <v>420</v>
      </c>
      <c r="F17" s="3" t="n">
        <v>-3.95532224</v>
      </c>
      <c r="G17" s="4" t="n">
        <v>9.41743390476191</v>
      </c>
      <c r="I17" s="3"/>
    </row>
    <row r="18" customFormat="false" ht="13.8" hidden="false" customHeight="false" outlineLevel="0" collapsed="false">
      <c r="A18" s="1" t="n">
        <v>1164</v>
      </c>
      <c r="B18" s="2" t="n">
        <v>3384.67</v>
      </c>
      <c r="C18" s="1" t="n">
        <v>20.3</v>
      </c>
      <c r="D18" s="1" t="n">
        <v>20</v>
      </c>
      <c r="E18" s="4" t="n">
        <f aca="false">D18*C18</f>
        <v>406</v>
      </c>
      <c r="F18" s="3" t="n">
        <v>-3.88728344</v>
      </c>
      <c r="G18" s="4" t="n">
        <v>9.57458975369458</v>
      </c>
      <c r="I18" s="3"/>
    </row>
    <row r="19" customFormat="false" ht="13.8" hidden="false" customHeight="false" outlineLevel="0" collapsed="false">
      <c r="A19" s="1" t="n">
        <v>1168</v>
      </c>
      <c r="B19" s="2" t="n">
        <v>3334.91</v>
      </c>
      <c r="C19" s="1" t="n">
        <v>19.65</v>
      </c>
      <c r="D19" s="1" t="n">
        <v>20</v>
      </c>
      <c r="E19" s="4" t="n">
        <f aca="false">D19*C19</f>
        <v>393</v>
      </c>
      <c r="F19" s="3" t="n">
        <v>-3.8101728</v>
      </c>
      <c r="G19" s="4" t="n">
        <v>9.69509618320611</v>
      </c>
      <c r="I19" s="3"/>
    </row>
    <row r="20" customFormat="false" ht="13.8" hidden="false" customHeight="false" outlineLevel="0" collapsed="false">
      <c r="A20" s="1" t="n">
        <v>1172</v>
      </c>
      <c r="B20" s="2" t="n">
        <v>3315.37</v>
      </c>
      <c r="C20" s="1" t="n">
        <v>19</v>
      </c>
      <c r="D20" s="1" t="n">
        <v>20</v>
      </c>
      <c r="E20" s="4" t="n">
        <f aca="false">D20*C20</f>
        <v>380</v>
      </c>
      <c r="F20" s="3" t="n">
        <v>-3.71038256</v>
      </c>
      <c r="G20" s="4" t="n">
        <v>9.76416463157895</v>
      </c>
      <c r="I20" s="3"/>
    </row>
    <row r="21" customFormat="false" ht="13.8" hidden="false" customHeight="false" outlineLevel="0" collapsed="false">
      <c r="A21" s="1" t="n">
        <v>1176</v>
      </c>
      <c r="B21" s="2" t="n">
        <v>3293.08</v>
      </c>
      <c r="C21" s="1" t="n">
        <v>18.36</v>
      </c>
      <c r="D21" s="1" t="n">
        <v>20</v>
      </c>
      <c r="E21" s="4" t="n">
        <f aca="false">D21*C21</f>
        <v>367.2</v>
      </c>
      <c r="F21" s="3" t="n">
        <v>-3.66048744</v>
      </c>
      <c r="G21" s="4" t="n">
        <v>9.9686477124183</v>
      </c>
      <c r="I21" s="3"/>
    </row>
    <row r="22" customFormat="false" ht="13.8" hidden="false" customHeight="false" outlineLevel="0" collapsed="false">
      <c r="A22" s="1" t="n">
        <v>1180</v>
      </c>
      <c r="B22" s="2" t="n">
        <v>3249.6</v>
      </c>
      <c r="C22" s="1" t="n">
        <v>17.75</v>
      </c>
      <c r="D22" s="1" t="n">
        <v>20</v>
      </c>
      <c r="E22" s="4" t="n">
        <f aca="false">D22*C22</f>
        <v>355</v>
      </c>
      <c r="F22" s="3" t="n">
        <v>-3.55616128</v>
      </c>
      <c r="G22" s="4" t="n">
        <v>10.0173557183099</v>
      </c>
      <c r="I22" s="3"/>
    </row>
    <row r="23" customFormat="false" ht="13.8" hidden="false" customHeight="false" outlineLevel="0" collapsed="false">
      <c r="A23" s="1" t="n">
        <v>1184</v>
      </c>
      <c r="B23" s="2" t="n">
        <v>3211.02</v>
      </c>
      <c r="C23" s="1" t="n">
        <v>17.11</v>
      </c>
      <c r="D23" s="1" t="n">
        <v>20</v>
      </c>
      <c r="E23" s="4" t="n">
        <f aca="false">D23*C23</f>
        <v>342.2</v>
      </c>
      <c r="F23" s="3" t="n">
        <v>-3.47905064</v>
      </c>
      <c r="G23" s="4" t="n">
        <v>10.1667172413793</v>
      </c>
      <c r="I23" s="3"/>
    </row>
    <row r="24" customFormat="false" ht="13.8" hidden="false" customHeight="false" outlineLevel="0" collapsed="false">
      <c r="A24" s="1" t="n">
        <v>1188</v>
      </c>
      <c r="B24" s="2" t="n">
        <v>3184.46</v>
      </c>
      <c r="C24" s="1" t="n">
        <v>16.43</v>
      </c>
      <c r="D24" s="1" t="n">
        <v>20</v>
      </c>
      <c r="E24" s="4" t="n">
        <f aca="false">D24*C24</f>
        <v>328.6</v>
      </c>
      <c r="F24" s="3" t="n">
        <v>-3.3565808</v>
      </c>
      <c r="G24" s="4" t="n">
        <v>10.2147924528302</v>
      </c>
      <c r="I24" s="3"/>
    </row>
    <row r="25" customFormat="false" ht="13.8" hidden="false" customHeight="false" outlineLevel="0" collapsed="false">
      <c r="A25" s="1" t="n">
        <v>1192</v>
      </c>
      <c r="B25" s="2" t="n">
        <v>3138.89</v>
      </c>
      <c r="C25" s="1" t="n">
        <v>15.81</v>
      </c>
      <c r="D25" s="1" t="n">
        <v>20</v>
      </c>
      <c r="E25" s="4" t="n">
        <f aca="false">D25*C25</f>
        <v>316.2</v>
      </c>
      <c r="F25" s="3" t="n">
        <v>-3.288542</v>
      </c>
      <c r="G25" s="4" t="n">
        <v>10.4001960784314</v>
      </c>
      <c r="I25" s="3"/>
    </row>
    <row r="26" customFormat="false" ht="13.8" hidden="false" customHeight="false" outlineLevel="0" collapsed="false">
      <c r="A26" s="1" t="n">
        <v>1196</v>
      </c>
      <c r="B26" s="2" t="n">
        <v>3107.37</v>
      </c>
      <c r="C26" s="1" t="n">
        <v>15.23</v>
      </c>
      <c r="D26" s="1" t="n">
        <v>20</v>
      </c>
      <c r="E26" s="4" t="n">
        <f aca="false">D26*C26</f>
        <v>304.6</v>
      </c>
      <c r="F26" s="3" t="n">
        <v>-3.16153624</v>
      </c>
      <c r="G26" s="4" t="n">
        <v>10.3793047931714</v>
      </c>
      <c r="I26" s="3"/>
    </row>
    <row r="27" customFormat="false" ht="13.8" hidden="false" customHeight="false" outlineLevel="0" collapsed="false">
      <c r="A27" s="1" t="n">
        <v>1200</v>
      </c>
      <c r="B27" s="2" t="n">
        <v>3046.25</v>
      </c>
      <c r="C27" s="1" t="n">
        <v>14.74</v>
      </c>
      <c r="D27" s="1" t="n">
        <v>20</v>
      </c>
      <c r="E27" s="4" t="n">
        <f aca="false">D27*C27</f>
        <v>294.8</v>
      </c>
      <c r="F27" s="3" t="n">
        <v>-3.12524888</v>
      </c>
      <c r="G27" s="4" t="n">
        <v>10.6012512890095</v>
      </c>
      <c r="I27" s="3"/>
    </row>
    <row r="28" customFormat="false" ht="13.8" hidden="false" customHeight="false" outlineLevel="0" collapsed="false">
      <c r="A28" s="1" t="n">
        <v>1204</v>
      </c>
      <c r="B28" s="2" t="n">
        <v>3033.58</v>
      </c>
      <c r="C28" s="1" t="n">
        <v>14.12</v>
      </c>
      <c r="D28" s="1" t="n">
        <v>20</v>
      </c>
      <c r="E28" s="4" t="n">
        <f aca="false">D28*C28</f>
        <v>282.4</v>
      </c>
      <c r="F28" s="3" t="n">
        <v>-3.00277904</v>
      </c>
      <c r="G28" s="4" t="n">
        <v>10.6330702549575</v>
      </c>
      <c r="I28" s="3"/>
    </row>
    <row r="29" customFormat="false" ht="13.8" hidden="false" customHeight="false" outlineLevel="0" collapsed="false">
      <c r="A29" s="1" t="n">
        <v>1208</v>
      </c>
      <c r="B29" s="2" t="n">
        <v>2982.83</v>
      </c>
      <c r="C29" s="1" t="n">
        <v>13.66</v>
      </c>
      <c r="D29" s="1" t="n">
        <v>20</v>
      </c>
      <c r="E29" s="4" t="n">
        <f aca="false">D29*C29</f>
        <v>273.2</v>
      </c>
      <c r="F29" s="3" t="n">
        <v>-2.94381208</v>
      </c>
      <c r="G29" s="4" t="n">
        <v>10.7753004392387</v>
      </c>
      <c r="I29" s="3"/>
    </row>
    <row r="30" customFormat="false" ht="13.8" hidden="false" customHeight="false" outlineLevel="0" collapsed="false">
      <c r="A30" s="1" t="n">
        <v>1212</v>
      </c>
      <c r="B30" s="2" t="n">
        <v>2951.77</v>
      </c>
      <c r="C30" s="1" t="n">
        <v>13.22</v>
      </c>
      <c r="D30" s="1" t="n">
        <v>20</v>
      </c>
      <c r="E30" s="4" t="n">
        <f aca="false">D30*C30</f>
        <v>264.4</v>
      </c>
      <c r="F30" s="3" t="n">
        <v>-2.87123736</v>
      </c>
      <c r="G30" s="4" t="n">
        <v>10.8594453857791</v>
      </c>
      <c r="I30" s="3"/>
    </row>
    <row r="31" customFormat="false" ht="13.8" hidden="false" customHeight="false" outlineLevel="0" collapsed="false">
      <c r="A31" s="1" t="n">
        <v>1216</v>
      </c>
      <c r="B31" s="2" t="n">
        <v>2926.97</v>
      </c>
      <c r="C31" s="1" t="n">
        <v>12.69</v>
      </c>
      <c r="D31" s="1" t="n">
        <v>20</v>
      </c>
      <c r="E31" s="4" t="n">
        <f aca="false">D31*C31</f>
        <v>253.8</v>
      </c>
      <c r="F31" s="3" t="n">
        <v>-2.77598304</v>
      </c>
      <c r="G31" s="4" t="n">
        <v>10.9376794326241</v>
      </c>
      <c r="I31" s="3"/>
    </row>
    <row r="32" customFormat="false" ht="13.8" hidden="false" customHeight="false" outlineLevel="0" collapsed="false">
      <c r="A32" s="1" t="n">
        <v>1220</v>
      </c>
      <c r="B32" s="2" t="n">
        <v>2890.88</v>
      </c>
      <c r="C32" s="1" t="n">
        <v>12.36</v>
      </c>
      <c r="D32" s="1" t="n">
        <v>20</v>
      </c>
      <c r="E32" s="4" t="n">
        <f aca="false">D32*C32</f>
        <v>247.2</v>
      </c>
      <c r="F32" s="3" t="n">
        <v>-2.73515976</v>
      </c>
      <c r="G32" s="4" t="n">
        <v>11.0645621359223</v>
      </c>
      <c r="I32" s="3"/>
    </row>
    <row r="33" customFormat="false" ht="13.8" hidden="false" customHeight="false" outlineLevel="0" collapsed="false">
      <c r="A33" s="1" t="n">
        <v>1224</v>
      </c>
      <c r="B33" s="2" t="n">
        <v>2855.69</v>
      </c>
      <c r="C33" s="1" t="n">
        <v>12.01</v>
      </c>
      <c r="D33" s="1" t="n">
        <v>20</v>
      </c>
      <c r="E33" s="4" t="n">
        <f aca="false">D33*C33</f>
        <v>240.2</v>
      </c>
      <c r="F33" s="3" t="n">
        <v>-2.67165688</v>
      </c>
      <c r="G33" s="4" t="n">
        <v>11.1226348043297</v>
      </c>
      <c r="I33" s="3"/>
    </row>
    <row r="34" customFormat="false" ht="13.8" hidden="false" customHeight="false" outlineLevel="0" collapsed="false">
      <c r="A34" s="1" t="n">
        <v>1228</v>
      </c>
      <c r="B34" s="2" t="n">
        <v>2824.44</v>
      </c>
      <c r="C34" s="1" t="n">
        <v>11.57</v>
      </c>
      <c r="D34" s="1" t="n">
        <v>20</v>
      </c>
      <c r="E34" s="4" t="n">
        <f aca="false">D34*C34</f>
        <v>231.4</v>
      </c>
      <c r="F34" s="3" t="n">
        <v>-2.60361808</v>
      </c>
      <c r="G34" s="4" t="n">
        <v>11.2515906655143</v>
      </c>
      <c r="I34" s="3"/>
    </row>
    <row r="35" customFormat="false" ht="13.8" hidden="false" customHeight="false" outlineLevel="0" collapsed="false">
      <c r="A35" s="1" t="n">
        <v>1232</v>
      </c>
      <c r="B35" s="2" t="n">
        <v>2796.77</v>
      </c>
      <c r="C35" s="1" t="n">
        <v>11.27</v>
      </c>
      <c r="D35" s="1" t="n">
        <v>20</v>
      </c>
      <c r="E35" s="4" t="n">
        <f aca="false">D35*C35</f>
        <v>225.4</v>
      </c>
      <c r="F35" s="3" t="n">
        <v>-2.54465112</v>
      </c>
      <c r="G35" s="4" t="n">
        <v>11.2894903283052</v>
      </c>
      <c r="I35" s="3"/>
    </row>
    <row r="36" customFormat="false" ht="13.8" hidden="false" customHeight="false" outlineLevel="0" collapsed="false">
      <c r="A36" s="1" t="n">
        <v>1236</v>
      </c>
      <c r="B36" s="2" t="n">
        <v>2765.96</v>
      </c>
      <c r="C36" s="1" t="n">
        <v>10.84</v>
      </c>
      <c r="D36" s="1" t="n">
        <v>20</v>
      </c>
      <c r="E36" s="4" t="n">
        <f aca="false">D36*C36</f>
        <v>216.8</v>
      </c>
      <c r="F36" s="3" t="n">
        <v>-2.49929192</v>
      </c>
      <c r="G36" s="4" t="n">
        <v>11.5280992619926</v>
      </c>
      <c r="I36" s="3"/>
    </row>
    <row r="37" customFormat="false" ht="13.8" hidden="false" customHeight="false" outlineLevel="0" collapsed="false">
      <c r="A37" s="1" t="n">
        <v>1240</v>
      </c>
      <c r="B37" s="2" t="n">
        <v>2730.54</v>
      </c>
      <c r="C37" s="1" t="n">
        <v>10.54</v>
      </c>
      <c r="D37" s="1" t="n">
        <v>20</v>
      </c>
      <c r="E37" s="4" t="n">
        <f aca="false">D37*C37</f>
        <v>210.8</v>
      </c>
      <c r="F37" s="3" t="n">
        <v>-2.43578904</v>
      </c>
      <c r="G37" s="4" t="n">
        <v>11.5549764705882</v>
      </c>
      <c r="I37" s="3"/>
    </row>
    <row r="38" customFormat="false" ht="13.8" hidden="false" customHeight="false" outlineLevel="0" collapsed="false">
      <c r="A38" s="1" t="n">
        <v>1244</v>
      </c>
      <c r="B38" s="2" t="n">
        <v>2698.09</v>
      </c>
      <c r="C38" s="1" t="n">
        <v>10.22</v>
      </c>
      <c r="D38" s="1" t="n">
        <v>20</v>
      </c>
      <c r="E38" s="4" t="n">
        <f aca="false">D38*C38</f>
        <v>204.4</v>
      </c>
      <c r="F38" s="3" t="n">
        <v>-2.4040376</v>
      </c>
      <c r="G38" s="4" t="n">
        <v>11.7614363992172</v>
      </c>
      <c r="I38" s="3"/>
    </row>
    <row r="39" customFormat="false" ht="13.8" hidden="false" customHeight="false" outlineLevel="0" collapsed="false">
      <c r="A39" s="1" t="n">
        <v>1248</v>
      </c>
      <c r="B39" s="2" t="n">
        <v>2679.15</v>
      </c>
      <c r="C39" s="1" t="n">
        <v>9.77</v>
      </c>
      <c r="D39" s="1" t="n">
        <v>20</v>
      </c>
      <c r="E39" s="4" t="n">
        <f aca="false">D39*C39</f>
        <v>195.4</v>
      </c>
      <c r="F39" s="3" t="n">
        <v>-2.3133192</v>
      </c>
      <c r="G39" s="4" t="n">
        <v>11.8388904810645</v>
      </c>
      <c r="I39" s="3"/>
    </row>
    <row r="40" customFormat="false" ht="13.8" hidden="false" customHeight="false" outlineLevel="0" collapsed="false">
      <c r="A40" s="1" t="n">
        <v>1252</v>
      </c>
      <c r="B40" s="2" t="n">
        <v>2635.69</v>
      </c>
      <c r="C40" s="1" t="n">
        <v>9.4</v>
      </c>
      <c r="D40" s="1" t="n">
        <v>20</v>
      </c>
      <c r="E40" s="4" t="n">
        <f aca="false">D40*C40</f>
        <v>188</v>
      </c>
      <c r="F40" s="3" t="n">
        <v>-2.26342408</v>
      </c>
      <c r="G40" s="4" t="n">
        <v>12.039489787234</v>
      </c>
      <c r="I40" s="3"/>
    </row>
    <row r="41" customFormat="false" ht="13.8" hidden="false" customHeight="false" outlineLevel="0" collapsed="false">
      <c r="A41" s="1" t="n">
        <v>1256</v>
      </c>
      <c r="B41" s="2" t="n">
        <v>2623.28</v>
      </c>
      <c r="C41" s="1" t="n">
        <v>8.96</v>
      </c>
      <c r="D41" s="1" t="n">
        <v>20</v>
      </c>
      <c r="E41" s="4" t="n">
        <f aca="false">D41*C41</f>
        <v>179.2</v>
      </c>
      <c r="F41" s="3" t="n">
        <v>-2.1999212</v>
      </c>
      <c r="G41" s="4" t="n">
        <v>12.2763459821429</v>
      </c>
      <c r="I41" s="3"/>
    </row>
    <row r="42" customFormat="false" ht="13.8" hidden="false" customHeight="false" outlineLevel="0" collapsed="false">
      <c r="A42" s="1" t="n">
        <v>1260</v>
      </c>
      <c r="B42" s="2" t="n">
        <v>2578.9</v>
      </c>
      <c r="C42" s="1" t="n">
        <v>8.6</v>
      </c>
      <c r="D42" s="1" t="n">
        <v>20</v>
      </c>
      <c r="E42" s="4" t="n">
        <f aca="false">D42*C42</f>
        <v>172</v>
      </c>
      <c r="F42" s="3" t="n">
        <v>-2.14095424</v>
      </c>
      <c r="G42" s="4" t="n">
        <v>12.447408372093</v>
      </c>
      <c r="I42" s="3"/>
    </row>
    <row r="43" customFormat="false" ht="13.8" hidden="false" customHeight="false" outlineLevel="0" collapsed="false">
      <c r="A43" s="1" t="n">
        <v>1264</v>
      </c>
      <c r="B43" s="2" t="n">
        <v>2553.98</v>
      </c>
      <c r="C43" s="1" t="n">
        <v>8.29</v>
      </c>
      <c r="D43" s="1" t="n">
        <v>20</v>
      </c>
      <c r="E43" s="4" t="n">
        <f aca="false">D43*C43</f>
        <v>165.8</v>
      </c>
      <c r="F43" s="3" t="n">
        <v>-2.1092028</v>
      </c>
      <c r="G43" s="4" t="n">
        <v>12.7213679131484</v>
      </c>
      <c r="I43" s="3"/>
    </row>
    <row r="44" customFormat="false" ht="13.8" hidden="false" customHeight="false" outlineLevel="0" collapsed="false">
      <c r="A44" s="1" t="n">
        <v>1268</v>
      </c>
      <c r="B44" s="2" t="n">
        <v>2523.07</v>
      </c>
      <c r="C44" s="1" t="n">
        <v>7.87</v>
      </c>
      <c r="D44" s="1" t="n">
        <v>20</v>
      </c>
      <c r="E44" s="4" t="n">
        <f aca="false">D44*C44</f>
        <v>157.4</v>
      </c>
      <c r="F44" s="3" t="n">
        <v>-2.041164</v>
      </c>
      <c r="G44" s="4" t="n">
        <v>12.9680050825921</v>
      </c>
      <c r="I44" s="3"/>
    </row>
    <row r="45" customFormat="false" ht="13.8" hidden="false" customHeight="false" outlineLevel="0" collapsed="false">
      <c r="A45" s="1" t="n">
        <v>1272</v>
      </c>
      <c r="B45" s="2" t="n">
        <v>2486.89</v>
      </c>
      <c r="C45" s="1" t="n">
        <v>7.48</v>
      </c>
      <c r="D45" s="1" t="n">
        <v>20</v>
      </c>
      <c r="E45" s="4" t="n">
        <f aca="false">D45*C45</f>
        <v>149.6</v>
      </c>
      <c r="F45" s="3" t="n">
        <v>-1.96858928</v>
      </c>
      <c r="G45" s="4" t="n">
        <v>13.1590192513369</v>
      </c>
      <c r="I45" s="3"/>
    </row>
    <row r="46" customFormat="false" ht="13.8" hidden="false" customHeight="false" outlineLevel="0" collapsed="false">
      <c r="A46" s="1" t="n">
        <v>1276</v>
      </c>
      <c r="B46" s="2" t="n">
        <v>2453.36</v>
      </c>
      <c r="C46" s="1" t="n">
        <v>7.03</v>
      </c>
      <c r="D46" s="1" t="n">
        <v>20</v>
      </c>
      <c r="E46" s="4" t="n">
        <f aca="false">D46*C46</f>
        <v>140.6</v>
      </c>
      <c r="F46" s="3" t="n">
        <v>-1.91415824</v>
      </c>
      <c r="G46" s="4" t="n">
        <v>13.6142122332859</v>
      </c>
      <c r="I46" s="3"/>
    </row>
    <row r="47" customFormat="false" ht="13.8" hidden="false" customHeight="false" outlineLevel="0" collapsed="false">
      <c r="A47" s="1" t="n">
        <v>1280</v>
      </c>
      <c r="B47" s="2" t="n">
        <v>2413.91</v>
      </c>
      <c r="C47" s="1" t="n">
        <v>6.6</v>
      </c>
      <c r="D47" s="1" t="n">
        <v>20</v>
      </c>
      <c r="E47" s="4" t="n">
        <f aca="false">D47*C47</f>
        <v>132</v>
      </c>
      <c r="F47" s="3" t="n">
        <v>-1.85519128</v>
      </c>
      <c r="G47" s="4" t="n">
        <v>14.0544793939394</v>
      </c>
      <c r="I47" s="3"/>
    </row>
    <row r="48" customFormat="false" ht="13.8" hidden="false" customHeight="false" outlineLevel="0" collapsed="false">
      <c r="A48" s="1" t="n">
        <v>1284</v>
      </c>
      <c r="B48" s="2" t="n">
        <v>2367.3</v>
      </c>
      <c r="C48" s="1" t="n">
        <v>6.3</v>
      </c>
      <c r="D48" s="1" t="n">
        <v>20</v>
      </c>
      <c r="E48" s="4" t="n">
        <f aca="false">D48*C48</f>
        <v>126</v>
      </c>
      <c r="F48" s="3" t="n">
        <v>-1.79622432</v>
      </c>
      <c r="G48" s="4" t="n">
        <v>14.2557485714286</v>
      </c>
      <c r="I48" s="3"/>
    </row>
    <row r="49" customFormat="false" ht="13.8" hidden="false" customHeight="false" outlineLevel="0" collapsed="false">
      <c r="A49" s="1" t="n">
        <v>1288</v>
      </c>
      <c r="B49" s="2" t="n">
        <v>2345.83</v>
      </c>
      <c r="C49" s="1" t="n">
        <v>5.97</v>
      </c>
      <c r="D49" s="1" t="n">
        <v>20</v>
      </c>
      <c r="E49" s="4" t="n">
        <f aca="false">D49*C49</f>
        <v>119.4</v>
      </c>
      <c r="F49" s="3" t="n">
        <v>-1.72818552</v>
      </c>
      <c r="G49" s="4" t="n">
        <v>14.4739155778894</v>
      </c>
      <c r="I49" s="3"/>
    </row>
    <row r="50" customFormat="false" ht="13.8" hidden="false" customHeight="false" outlineLevel="0" collapsed="false">
      <c r="A50" s="1" t="n">
        <v>1292</v>
      </c>
      <c r="B50" s="2" t="n">
        <v>2300.39</v>
      </c>
      <c r="C50" s="1" t="n">
        <v>5.7</v>
      </c>
      <c r="D50" s="1" t="n">
        <v>20</v>
      </c>
      <c r="E50" s="4" t="n">
        <f aca="false">D50*C50</f>
        <v>114</v>
      </c>
      <c r="F50" s="3" t="n">
        <v>-1.67375448</v>
      </c>
      <c r="G50" s="4" t="n">
        <v>14.6820568421053</v>
      </c>
      <c r="I50" s="3"/>
    </row>
    <row r="51" customFormat="false" ht="13.8" hidden="false" customHeight="false" outlineLevel="0" collapsed="false">
      <c r="A51" s="1" t="n">
        <v>1296</v>
      </c>
      <c r="B51" s="2" t="n">
        <v>2265.26</v>
      </c>
      <c r="C51" s="1" t="n">
        <v>5.41</v>
      </c>
      <c r="D51" s="1" t="n">
        <v>20</v>
      </c>
      <c r="E51" s="4" t="n">
        <f aca="false">D51*C51</f>
        <v>108.2</v>
      </c>
      <c r="F51" s="3" t="n">
        <v>-1.63746712</v>
      </c>
      <c r="G51" s="4" t="n">
        <v>15.1337072088725</v>
      </c>
      <c r="I51" s="3"/>
    </row>
    <row r="52" customFormat="false" ht="13.8" hidden="false" customHeight="false" outlineLevel="0" collapsed="false">
      <c r="A52" s="1" t="n">
        <v>1300</v>
      </c>
      <c r="B52" s="2" t="n">
        <v>2228.83</v>
      </c>
      <c r="C52" s="1" t="n">
        <v>5.16</v>
      </c>
      <c r="D52" s="1" t="n">
        <v>20</v>
      </c>
      <c r="E52" s="4" t="n">
        <f aca="false">D52*C52</f>
        <v>103.2</v>
      </c>
      <c r="F52" s="3" t="n">
        <v>-1.58303608</v>
      </c>
      <c r="G52" s="4" t="n">
        <v>15.3394968992248</v>
      </c>
      <c r="I52" s="3"/>
    </row>
    <row r="53" customFormat="false" ht="13.8" hidden="false" customHeight="false" outlineLevel="0" collapsed="false">
      <c r="A53" s="1" t="n">
        <v>1304</v>
      </c>
      <c r="B53" s="2" t="n">
        <v>2191.99</v>
      </c>
      <c r="C53" s="1" t="n">
        <v>4.88</v>
      </c>
      <c r="D53" s="1" t="n">
        <v>20</v>
      </c>
      <c r="E53" s="4" t="n">
        <f aca="false">D53*C53</f>
        <v>97.6</v>
      </c>
      <c r="F53" s="3" t="n">
        <v>-1.5195332</v>
      </c>
      <c r="G53" s="4" t="n">
        <v>15.568987704918</v>
      </c>
      <c r="I53" s="3"/>
    </row>
    <row r="54" customFormat="false" ht="13.8" hidden="false" customHeight="false" outlineLevel="0" collapsed="false">
      <c r="A54" s="1" t="n">
        <v>1308</v>
      </c>
      <c r="B54" s="2" t="n">
        <v>2165.68</v>
      </c>
      <c r="C54" s="1" t="n">
        <v>4.6</v>
      </c>
      <c r="D54" s="1" t="n">
        <v>20</v>
      </c>
      <c r="E54" s="4" t="n">
        <f aca="false">D54*C54</f>
        <v>92</v>
      </c>
      <c r="F54" s="3" t="n">
        <v>-1.474174</v>
      </c>
      <c r="G54" s="4" t="n">
        <v>16.0236304347826</v>
      </c>
      <c r="I54" s="3"/>
    </row>
    <row r="55" customFormat="false" ht="13.8" hidden="false" customHeight="false" outlineLevel="0" collapsed="false">
      <c r="A55" s="1" t="n">
        <v>1312</v>
      </c>
      <c r="B55" s="2" t="n">
        <v>2134.5</v>
      </c>
      <c r="C55" s="1" t="n">
        <v>4.31</v>
      </c>
      <c r="D55" s="1" t="n">
        <v>20</v>
      </c>
      <c r="E55" s="4" t="n">
        <f aca="false">D55*C55</f>
        <v>86.2</v>
      </c>
      <c r="F55" s="3" t="n">
        <v>-1.41067112</v>
      </c>
      <c r="G55" s="4" t="n">
        <v>16.365094199536</v>
      </c>
      <c r="I55" s="3"/>
    </row>
    <row r="56" customFormat="false" ht="13.8" hidden="false" customHeight="false" outlineLevel="0" collapsed="false">
      <c r="A56" s="1" t="n">
        <v>1316</v>
      </c>
      <c r="B56" s="2" t="n">
        <v>2092.63</v>
      </c>
      <c r="C56" s="1" t="n">
        <v>4.09</v>
      </c>
      <c r="D56" s="1" t="n">
        <v>20</v>
      </c>
      <c r="E56" s="4" t="n">
        <f aca="false">D56*C56</f>
        <v>81.8</v>
      </c>
      <c r="F56" s="3" t="n">
        <v>-1.37438376</v>
      </c>
      <c r="G56" s="4" t="n">
        <v>16.8017574572127</v>
      </c>
      <c r="I56" s="3"/>
    </row>
    <row r="57" customFormat="false" ht="13.8" hidden="false" customHeight="false" outlineLevel="0" collapsed="false">
      <c r="A57" s="1" t="n">
        <v>1320</v>
      </c>
      <c r="B57" s="2" t="n">
        <v>2049.5</v>
      </c>
      <c r="C57" s="1" t="n">
        <v>3.81</v>
      </c>
      <c r="D57" s="1" t="n">
        <v>20</v>
      </c>
      <c r="E57" s="4" t="n">
        <f aca="false">D57*C57</f>
        <v>76.2</v>
      </c>
      <c r="F57" s="3" t="n">
        <v>-1.32448864</v>
      </c>
      <c r="G57" s="4" t="n">
        <v>17.3817406824147</v>
      </c>
      <c r="I57" s="3"/>
    </row>
    <row r="58" customFormat="false" ht="13.8" hidden="false" customHeight="false" outlineLevel="0" collapsed="false">
      <c r="A58" s="1" t="n">
        <v>1324</v>
      </c>
      <c r="B58" s="2" t="n">
        <v>2008.63</v>
      </c>
      <c r="C58" s="1" t="n">
        <v>3.58</v>
      </c>
      <c r="D58" s="1" t="n">
        <v>20</v>
      </c>
      <c r="E58" s="4" t="n">
        <f aca="false">D58*C58</f>
        <v>71.6</v>
      </c>
      <c r="F58" s="3" t="n">
        <v>-1.2700576</v>
      </c>
      <c r="G58" s="4" t="n">
        <v>17.7382346368715</v>
      </c>
      <c r="I58" s="3"/>
    </row>
    <row r="59" customFormat="false" ht="13.8" hidden="false" customHeight="false" outlineLevel="0" collapsed="false">
      <c r="A59" s="1" t="n">
        <v>1328</v>
      </c>
      <c r="B59" s="2" t="n">
        <v>1972.27</v>
      </c>
      <c r="C59" s="1" t="n">
        <v>3.32</v>
      </c>
      <c r="D59" s="1" t="n">
        <v>20</v>
      </c>
      <c r="E59" s="4" t="n">
        <f aca="false">D59*C59</f>
        <v>66.4</v>
      </c>
      <c r="F59" s="3" t="n">
        <v>-1.22016248</v>
      </c>
      <c r="G59" s="4" t="n">
        <v>18.3759409638554</v>
      </c>
      <c r="I59" s="3"/>
    </row>
    <row r="60" customFormat="false" ht="13.8" hidden="false" customHeight="false" outlineLevel="0" collapsed="false">
      <c r="A60" s="1" t="n">
        <v>1332</v>
      </c>
      <c r="B60" s="2" t="n">
        <v>1927.44</v>
      </c>
      <c r="C60" s="1" t="n">
        <v>3.09</v>
      </c>
      <c r="D60" s="1" t="n">
        <v>20</v>
      </c>
      <c r="E60" s="4" t="n">
        <f aca="false">D60*C60</f>
        <v>61.8</v>
      </c>
      <c r="F60" s="3" t="n">
        <v>-1.17026736</v>
      </c>
      <c r="G60" s="4" t="n">
        <v>18.9363650485437</v>
      </c>
      <c r="I60" s="3"/>
    </row>
    <row r="61" customFormat="false" ht="13.8" hidden="false" customHeight="false" outlineLevel="0" collapsed="false">
      <c r="A61" s="1" t="n">
        <v>1336</v>
      </c>
      <c r="B61" s="2" t="n">
        <v>1895.26</v>
      </c>
      <c r="C61" s="1" t="n">
        <v>2.9</v>
      </c>
      <c r="D61" s="1" t="n">
        <v>20</v>
      </c>
      <c r="E61" s="4" t="n">
        <f aca="false">D61*C61</f>
        <v>58</v>
      </c>
      <c r="F61" s="3" t="n">
        <v>-1.10676448</v>
      </c>
      <c r="G61" s="4" t="n">
        <v>19.0821462068966</v>
      </c>
      <c r="I61" s="3"/>
    </row>
    <row r="62" customFormat="false" ht="13.8" hidden="false" customHeight="false" outlineLevel="0" collapsed="false">
      <c r="A62" s="1" t="n">
        <v>1340</v>
      </c>
      <c r="B62" s="2" t="n">
        <v>1852.72</v>
      </c>
      <c r="C62" s="1" t="n">
        <v>2.71</v>
      </c>
      <c r="D62" s="1" t="n">
        <v>20</v>
      </c>
      <c r="E62" s="4" t="n">
        <f aca="false">D62*C62</f>
        <v>54.2</v>
      </c>
      <c r="F62" s="3" t="n">
        <v>-1.0659412</v>
      </c>
      <c r="G62" s="4" t="n">
        <v>19.6668118081181</v>
      </c>
      <c r="I62" s="3"/>
    </row>
    <row r="63" customFormat="false" ht="13.8" hidden="false" customHeight="false" outlineLevel="0" collapsed="false">
      <c r="A63" s="1" t="n">
        <v>1344</v>
      </c>
      <c r="B63" s="2" t="n">
        <v>1815.85</v>
      </c>
      <c r="C63" s="1" t="n">
        <v>2.46</v>
      </c>
      <c r="D63" s="1" t="n">
        <v>20</v>
      </c>
      <c r="E63" s="4" t="n">
        <f aca="false">D63*C63</f>
        <v>49.2</v>
      </c>
      <c r="F63" s="3" t="n">
        <v>-1.020582</v>
      </c>
      <c r="G63" s="4" t="n">
        <v>20.7435365853659</v>
      </c>
      <c r="I63" s="3"/>
    </row>
    <row r="64" customFormat="false" ht="13.8" hidden="false" customHeight="false" outlineLevel="0" collapsed="false">
      <c r="A64" s="1" t="n">
        <v>1348</v>
      </c>
      <c r="B64" s="2" t="n">
        <v>1779.35</v>
      </c>
      <c r="C64" s="1" t="n">
        <v>2.3</v>
      </c>
      <c r="D64" s="1" t="n">
        <v>20</v>
      </c>
      <c r="E64" s="4" t="n">
        <f aca="false">D64*C64</f>
        <v>46</v>
      </c>
      <c r="F64" s="3" t="n">
        <v>-0.98883056</v>
      </c>
      <c r="G64" s="4" t="n">
        <v>21.4963165217391</v>
      </c>
      <c r="I64" s="3"/>
    </row>
    <row r="65" customFormat="false" ht="13.8" hidden="false" customHeight="false" outlineLevel="0" collapsed="false">
      <c r="A65" s="1" t="n">
        <v>1352</v>
      </c>
      <c r="B65" s="2" t="n">
        <v>1748</v>
      </c>
      <c r="C65" s="1" t="n">
        <v>2.1</v>
      </c>
      <c r="D65" s="1" t="n">
        <v>20</v>
      </c>
      <c r="E65" s="4" t="n">
        <f aca="false">D65*C65</f>
        <v>42</v>
      </c>
      <c r="F65" s="3" t="n">
        <v>-0.94347136</v>
      </c>
      <c r="G65" s="4" t="n">
        <v>22.4636038095238</v>
      </c>
      <c r="I65" s="3"/>
    </row>
    <row r="66" customFormat="false" ht="13.8" hidden="false" customHeight="false" outlineLevel="0" collapsed="false">
      <c r="A66" s="1" t="n">
        <v>1356</v>
      </c>
      <c r="B66" s="2" t="n">
        <v>1717.84</v>
      </c>
      <c r="C66" s="1" t="n">
        <v>2</v>
      </c>
      <c r="D66" s="1" t="n">
        <v>20</v>
      </c>
      <c r="E66" s="4" t="n">
        <f aca="false">D66*C66</f>
        <v>40</v>
      </c>
      <c r="F66" s="3" t="n">
        <v>-0.907184</v>
      </c>
      <c r="G66" s="4" t="n">
        <v>22.6796</v>
      </c>
      <c r="I66" s="3"/>
    </row>
    <row r="67" customFormat="false" ht="13.8" hidden="false" customHeight="false" outlineLevel="0" collapsed="false">
      <c r="A67" s="1" t="n">
        <v>1360</v>
      </c>
      <c r="B67" s="2" t="n">
        <v>1676.08</v>
      </c>
      <c r="C67" s="1" t="n">
        <v>1.84</v>
      </c>
      <c r="D67" s="1" t="n">
        <v>20</v>
      </c>
      <c r="E67" s="4" t="n">
        <f aca="false">D67*C67</f>
        <v>36.8</v>
      </c>
      <c r="F67" s="3" t="n">
        <v>-0.87543256</v>
      </c>
      <c r="G67" s="4" t="n">
        <v>23.7889282608696</v>
      </c>
      <c r="I67" s="3"/>
    </row>
    <row r="68" customFormat="false" ht="13.8" hidden="false" customHeight="false" outlineLevel="0" collapsed="false">
      <c r="A68" s="1" t="n">
        <v>1364</v>
      </c>
      <c r="B68" s="2" t="n">
        <v>1643.03</v>
      </c>
      <c r="C68" s="1" t="n">
        <v>1.7</v>
      </c>
      <c r="D68" s="1" t="n">
        <v>20</v>
      </c>
      <c r="E68" s="4" t="n">
        <f aca="false">D68*C68</f>
        <v>34</v>
      </c>
      <c r="F68" s="3" t="n">
        <v>-0.83007336</v>
      </c>
      <c r="G68" s="4" t="n">
        <v>24.4139223529412</v>
      </c>
      <c r="I68" s="3"/>
    </row>
    <row r="69" customFormat="false" ht="13.8" hidden="false" customHeight="false" outlineLevel="0" collapsed="false">
      <c r="A69" s="1" t="n">
        <v>1368</v>
      </c>
      <c r="B69" s="2" t="n">
        <v>1596.56</v>
      </c>
      <c r="C69" s="1" t="n">
        <v>1.59</v>
      </c>
      <c r="D69" s="1" t="n">
        <v>20</v>
      </c>
      <c r="E69" s="4" t="n">
        <f aca="false">D69*C69</f>
        <v>31.8</v>
      </c>
      <c r="F69" s="3" t="n">
        <v>-0.78017824</v>
      </c>
      <c r="G69" s="4" t="n">
        <v>24.533906918239</v>
      </c>
      <c r="I69" s="3"/>
    </row>
    <row r="70" customFormat="false" ht="13.8" hidden="false" customHeight="false" outlineLevel="0" collapsed="false">
      <c r="A70" s="1" t="n">
        <v>1372</v>
      </c>
      <c r="B70" s="2" t="n">
        <v>1559.65</v>
      </c>
      <c r="C70" s="1" t="n">
        <v>1.5</v>
      </c>
      <c r="D70" s="1" t="n">
        <v>20</v>
      </c>
      <c r="E70" s="4" t="n">
        <f aca="false">D70*C70</f>
        <v>30</v>
      </c>
      <c r="F70" s="3" t="n">
        <v>-0.75296272</v>
      </c>
      <c r="G70" s="4" t="n">
        <v>25.0987573333333</v>
      </c>
      <c r="I70" s="3"/>
    </row>
    <row r="71" customFormat="false" ht="13.8" hidden="false" customHeight="false" outlineLevel="0" collapsed="false">
      <c r="A71" s="1" t="n">
        <v>1376</v>
      </c>
      <c r="B71" s="2" t="n">
        <v>1526</v>
      </c>
      <c r="C71" s="1" t="n">
        <v>1.3</v>
      </c>
      <c r="D71" s="1" t="n">
        <v>20</v>
      </c>
      <c r="E71" s="4" t="n">
        <f aca="false">D71*C71</f>
        <v>26</v>
      </c>
      <c r="F71" s="3" t="n">
        <v>-0.71667536</v>
      </c>
      <c r="G71" s="4" t="n">
        <v>27.5644369230769</v>
      </c>
      <c r="I71" s="3"/>
    </row>
    <row r="72" customFormat="false" ht="13.8" hidden="false" customHeight="false" outlineLevel="0" collapsed="false">
      <c r="A72" s="1" t="n">
        <v>1380</v>
      </c>
      <c r="B72" s="2" t="n">
        <v>1493.24</v>
      </c>
      <c r="C72" s="1" t="n">
        <v>1.29</v>
      </c>
      <c r="D72" s="1" t="n">
        <v>20</v>
      </c>
      <c r="E72" s="4" t="n">
        <f aca="false">D72*C72</f>
        <v>25.8</v>
      </c>
      <c r="F72" s="3" t="n">
        <v>-0.68945984</v>
      </c>
      <c r="G72" s="4" t="n">
        <v>26.7232496124031</v>
      </c>
      <c r="I72" s="3"/>
    </row>
    <row r="73" customFormat="false" ht="13.8" hidden="false" customHeight="false" outlineLevel="0" collapsed="false">
      <c r="A73" s="1" t="n">
        <v>1384</v>
      </c>
      <c r="B73" s="2" t="n">
        <v>1461.44</v>
      </c>
      <c r="C73" s="1" t="n">
        <v>1.2</v>
      </c>
      <c r="D73" s="1" t="n">
        <v>20</v>
      </c>
      <c r="E73" s="4" t="n">
        <f aca="false">D73*C73</f>
        <v>24</v>
      </c>
      <c r="F73" s="3" t="n">
        <v>-0.6577084</v>
      </c>
      <c r="G73" s="4" t="n">
        <v>27.4045166666667</v>
      </c>
      <c r="I73" s="3"/>
    </row>
    <row r="74" customFormat="false" ht="13.8" hidden="false" customHeight="false" outlineLevel="0" collapsed="false">
      <c r="A74" s="1" t="n">
        <v>1388</v>
      </c>
      <c r="B74" s="2" t="n">
        <v>1426</v>
      </c>
      <c r="C74" s="1" t="n">
        <v>1.05</v>
      </c>
      <c r="D74" s="1" t="n">
        <v>20</v>
      </c>
      <c r="E74" s="4" t="n">
        <f aca="false">D74*C74</f>
        <v>21</v>
      </c>
      <c r="F74" s="3" t="n">
        <v>-0.63049288</v>
      </c>
      <c r="G74" s="4" t="n">
        <v>30.0234704761905</v>
      </c>
      <c r="I74" s="3"/>
    </row>
    <row r="75" customFormat="false" ht="13.8" hidden="false" customHeight="false" outlineLevel="0" collapsed="false">
      <c r="A75" s="1" t="n">
        <v>1392</v>
      </c>
      <c r="B75" s="2" t="n">
        <v>1387.58</v>
      </c>
      <c r="C75" s="1" t="n">
        <v>1</v>
      </c>
      <c r="D75" s="1" t="n">
        <v>20</v>
      </c>
      <c r="E75" s="4" t="n">
        <f aca="false">D75*C75</f>
        <v>20</v>
      </c>
      <c r="F75" s="3" t="n">
        <v>-0.5896696</v>
      </c>
      <c r="G75" s="4" t="n">
        <v>29.48348</v>
      </c>
      <c r="I75" s="3"/>
    </row>
    <row r="76" customFormat="false" ht="13.8" hidden="false" customHeight="false" outlineLevel="0" collapsed="false">
      <c r="A76" s="1" t="n">
        <v>1396</v>
      </c>
      <c r="B76" s="2" t="n">
        <v>1348.65</v>
      </c>
      <c r="C76" s="1" t="n">
        <v>0.88</v>
      </c>
      <c r="D76" s="1" t="n">
        <v>20</v>
      </c>
      <c r="E76" s="4" t="n">
        <f aca="false">D76*C76</f>
        <v>17.6</v>
      </c>
      <c r="F76" s="3" t="n">
        <v>-0.55791816</v>
      </c>
      <c r="G76" s="4" t="n">
        <v>31.6998954545454</v>
      </c>
      <c r="I76" s="3"/>
    </row>
    <row r="77" customFormat="false" ht="13.8" hidden="false" customHeight="false" outlineLevel="0" collapsed="false">
      <c r="A77" s="1" t="n">
        <v>1400</v>
      </c>
      <c r="B77" s="2" t="n">
        <v>1314.84</v>
      </c>
      <c r="C77" s="1" t="n">
        <v>0.8</v>
      </c>
      <c r="D77" s="1" t="n">
        <v>20</v>
      </c>
      <c r="E77" s="4" t="n">
        <f aca="false">D77*C77</f>
        <v>16</v>
      </c>
      <c r="F77" s="3" t="n">
        <v>-0.53070264</v>
      </c>
      <c r="G77" s="4" t="n">
        <v>33.168915</v>
      </c>
      <c r="I77" s="3"/>
    </row>
    <row r="78" customFormat="false" ht="13.8" hidden="false" customHeight="false" outlineLevel="0" collapsed="false">
      <c r="A78" s="1" t="n">
        <v>1404</v>
      </c>
      <c r="B78" s="2" t="n">
        <v>1277.33</v>
      </c>
      <c r="C78" s="1" t="n">
        <v>0.7</v>
      </c>
      <c r="D78" s="1" t="n">
        <v>20</v>
      </c>
      <c r="E78" s="4" t="n">
        <f aca="false">D78*C78</f>
        <v>14</v>
      </c>
      <c r="F78" s="3" t="n">
        <v>-0.50348712</v>
      </c>
      <c r="G78" s="4" t="n">
        <v>35.9633657142857</v>
      </c>
      <c r="I78" s="3"/>
    </row>
    <row r="79" customFormat="false" ht="13.8" hidden="false" customHeight="false" outlineLevel="0" collapsed="false">
      <c r="A79" s="1" t="n">
        <v>1408</v>
      </c>
      <c r="B79" s="2" t="n">
        <v>1245.51</v>
      </c>
      <c r="C79" s="1" t="n">
        <v>0.7</v>
      </c>
      <c r="D79" s="1" t="n">
        <v>20</v>
      </c>
      <c r="E79" s="4" t="n">
        <f aca="false">D79*C79</f>
        <v>14</v>
      </c>
      <c r="F79" s="3" t="n">
        <v>-0.47173568</v>
      </c>
      <c r="G79" s="4" t="n">
        <v>33.6954057142857</v>
      </c>
      <c r="I79" s="3"/>
    </row>
    <row r="80" customFormat="false" ht="13.8" hidden="false" customHeight="false" outlineLevel="0" collapsed="false">
      <c r="A80" s="1" t="n">
        <v>1412</v>
      </c>
      <c r="B80" s="2" t="n">
        <v>1201.32</v>
      </c>
      <c r="C80" s="1" t="n">
        <v>0.6</v>
      </c>
      <c r="D80" s="1" t="n">
        <v>20</v>
      </c>
      <c r="E80" s="4" t="n">
        <f aca="false">D80*C80</f>
        <v>12</v>
      </c>
      <c r="F80" s="3" t="n">
        <v>-0.44452016</v>
      </c>
      <c r="G80" s="4" t="n">
        <v>37.0433466666667</v>
      </c>
      <c r="I80" s="3"/>
    </row>
    <row r="81" customFormat="false" ht="13.8" hidden="false" customHeight="false" outlineLevel="0" collapsed="false">
      <c r="A81" s="1" t="n">
        <v>1416</v>
      </c>
      <c r="B81" s="2" t="n">
        <v>1158.74</v>
      </c>
      <c r="C81" s="1" t="n">
        <v>0.5</v>
      </c>
      <c r="D81" s="1" t="n">
        <v>20</v>
      </c>
      <c r="E81" s="4" t="n">
        <f aca="false">D81*C81</f>
        <v>10</v>
      </c>
      <c r="F81" s="3" t="n">
        <v>-0.41276872</v>
      </c>
      <c r="G81" s="4" t="n">
        <v>41.276872</v>
      </c>
      <c r="I81" s="3"/>
    </row>
    <row r="82" customFormat="false" ht="13.8" hidden="false" customHeight="false" outlineLevel="0" collapsed="false">
      <c r="A82" s="1" t="n">
        <v>1420</v>
      </c>
      <c r="B82" s="2" t="n">
        <v>1119.85</v>
      </c>
      <c r="C82" s="1" t="n">
        <v>0.5</v>
      </c>
      <c r="D82" s="1" t="n">
        <v>20</v>
      </c>
      <c r="E82" s="4" t="n">
        <f aca="false">D82*C82</f>
        <v>10</v>
      </c>
      <c r="F82" s="3" t="n">
        <v>-0.3855532</v>
      </c>
      <c r="G82" s="4" t="n">
        <v>38.55532</v>
      </c>
      <c r="I82" s="3"/>
    </row>
    <row r="83" customFormat="false" ht="13.8" hidden="false" customHeight="false" outlineLevel="0" collapsed="false">
      <c r="A83" s="1" t="n">
        <v>1424</v>
      </c>
      <c r="B83" s="2" t="n">
        <v>1077.31</v>
      </c>
      <c r="C83" s="1" t="n">
        <v>0.4</v>
      </c>
      <c r="D83" s="1" t="n">
        <v>20</v>
      </c>
      <c r="E83" s="4" t="n">
        <f aca="false">D83*C83</f>
        <v>8</v>
      </c>
      <c r="F83" s="3" t="n">
        <v>-0.35833768</v>
      </c>
      <c r="G83" s="4" t="n">
        <v>44.79221</v>
      </c>
      <c r="I83" s="3"/>
    </row>
    <row r="84" customFormat="false" ht="13.8" hidden="false" customHeight="false" outlineLevel="0" collapsed="false">
      <c r="A84" s="1" t="n">
        <v>1428</v>
      </c>
      <c r="B84" s="2" t="n">
        <v>1024.37</v>
      </c>
      <c r="C84" s="1" t="n">
        <v>0.4</v>
      </c>
      <c r="D84" s="1" t="n">
        <v>20</v>
      </c>
      <c r="E84" s="4" t="n">
        <f aca="false">D84*C84</f>
        <v>8</v>
      </c>
      <c r="F84" s="3" t="n">
        <v>-0.32205032</v>
      </c>
      <c r="G84" s="4" t="n">
        <v>40.25629</v>
      </c>
      <c r="I84" s="3"/>
    </row>
    <row r="85" customFormat="false" ht="13.8" hidden="false" customHeight="false" outlineLevel="0" collapsed="false">
      <c r="A85" s="1" t="n">
        <v>1432</v>
      </c>
      <c r="B85" s="2" t="n">
        <v>981.67</v>
      </c>
      <c r="C85" s="1" t="n">
        <v>0.3</v>
      </c>
      <c r="D85" s="1" t="n">
        <v>20</v>
      </c>
      <c r="E85" s="4" t="n">
        <f aca="false">D85*C85</f>
        <v>6</v>
      </c>
      <c r="F85" s="3" t="n">
        <v>-0.2948348</v>
      </c>
      <c r="G85" s="4" t="n">
        <v>49.1391333333333</v>
      </c>
      <c r="I85" s="3"/>
    </row>
    <row r="86" customFormat="false" ht="13.8" hidden="false" customHeight="false" outlineLevel="0" collapsed="false">
      <c r="A86" s="1" t="n">
        <v>1436</v>
      </c>
      <c r="B86" s="2" t="n">
        <v>924.72</v>
      </c>
      <c r="C86" s="1" t="n">
        <v>0.2</v>
      </c>
      <c r="D86" s="1" t="n">
        <v>20</v>
      </c>
      <c r="E86" s="4" t="n">
        <f aca="false">D86*C86</f>
        <v>4</v>
      </c>
      <c r="F86" s="3" t="n">
        <v>-0.26308336</v>
      </c>
      <c r="G86" s="4" t="n">
        <v>65.77084</v>
      </c>
      <c r="I86" s="3"/>
    </row>
    <row r="87" customFormat="false" ht="13.8" hidden="false" customHeight="false" outlineLevel="0" collapsed="false">
      <c r="A87" s="1" t="n">
        <v>1440</v>
      </c>
      <c r="B87" s="2" t="n">
        <v>875.68</v>
      </c>
      <c r="C87" s="1" t="n">
        <v>0.2</v>
      </c>
      <c r="D87" s="1" t="n">
        <v>20</v>
      </c>
      <c r="E87" s="4" t="n">
        <f aca="false">D87*C87</f>
        <v>4</v>
      </c>
      <c r="F87" s="3" t="n">
        <v>-0.23586784</v>
      </c>
      <c r="G87" s="4" t="n">
        <v>58.96696</v>
      </c>
      <c r="I87" s="3"/>
    </row>
    <row r="88" customFormat="false" ht="13.8" hidden="false" customHeight="false" outlineLevel="0" collapsed="false">
      <c r="A88" s="1" t="n">
        <v>1444</v>
      </c>
      <c r="B88" s="2" t="n">
        <v>813.16</v>
      </c>
      <c r="C88" s="1" t="n">
        <v>0.2</v>
      </c>
      <c r="D88" s="1" t="n">
        <v>20</v>
      </c>
      <c r="E88" s="4" t="n">
        <f aca="false">D88*C88</f>
        <v>4</v>
      </c>
      <c r="F88" s="3" t="n">
        <v>-0.2041164</v>
      </c>
      <c r="G88" s="4" t="n">
        <v>51.0291</v>
      </c>
      <c r="I88" s="3"/>
    </row>
    <row r="89" customFormat="false" ht="13.8" hidden="false" customHeight="false" outlineLevel="0" collapsed="false">
      <c r="A89" s="1" t="n">
        <v>1448</v>
      </c>
      <c r="B89" s="2" t="n">
        <v>751.76</v>
      </c>
      <c r="C89" s="1" t="n">
        <v>0.1</v>
      </c>
      <c r="D89" s="1" t="n">
        <v>20</v>
      </c>
      <c r="E89" s="4" t="n">
        <f aca="false">D89*C89</f>
        <v>2</v>
      </c>
      <c r="F89" s="3" t="n">
        <v>-0.17236496</v>
      </c>
      <c r="G89" s="4" t="n">
        <v>86.18248</v>
      </c>
      <c r="I89" s="3"/>
    </row>
    <row r="90" customFormat="false" ht="13.8" hidden="false" customHeight="false" outlineLevel="0" collapsed="false">
      <c r="A90" s="1" t="n">
        <v>1452</v>
      </c>
      <c r="B90" s="2" t="n">
        <v>688.27</v>
      </c>
      <c r="C90" s="1" t="n">
        <v>0.1</v>
      </c>
      <c r="D90" s="1" t="n">
        <v>20</v>
      </c>
      <c r="E90" s="4" t="n">
        <f aca="false">D90*C90</f>
        <v>2</v>
      </c>
      <c r="F90" s="3" t="n">
        <v>-0.14514944</v>
      </c>
      <c r="G90" s="4" t="n">
        <v>72.57472</v>
      </c>
      <c r="I90" s="3"/>
    </row>
    <row r="91" customFormat="false" ht="13.8" hidden="false" customHeight="false" outlineLevel="0" collapsed="false">
      <c r="A91" s="1" t="n">
        <v>1456</v>
      </c>
      <c r="B91" s="2" t="n">
        <v>623.83</v>
      </c>
      <c r="C91" s="1" t="n">
        <v>0.1</v>
      </c>
      <c r="D91" s="1" t="n">
        <v>20</v>
      </c>
      <c r="E91" s="4" t="n">
        <f aca="false">D91*C91</f>
        <v>2</v>
      </c>
      <c r="F91" s="3" t="n">
        <v>-0.12246984</v>
      </c>
      <c r="G91" s="4" t="n">
        <v>61.23492</v>
      </c>
      <c r="I91" s="3"/>
    </row>
    <row r="92" customFormat="false" ht="13.8" hidden="false" customHeight="false" outlineLevel="0" collapsed="false">
      <c r="A92" s="1" t="n">
        <v>1460</v>
      </c>
      <c r="B92" s="2" t="n">
        <v>547.37</v>
      </c>
      <c r="C92" s="1" t="n">
        <v>0.05</v>
      </c>
      <c r="D92" s="1" t="n">
        <v>20</v>
      </c>
      <c r="E92" s="4" t="n">
        <f aca="false">D92*C92</f>
        <v>1</v>
      </c>
      <c r="F92" s="3" t="n">
        <v>-0.0907184</v>
      </c>
      <c r="G92" s="4" t="n">
        <v>90.7184</v>
      </c>
      <c r="I92" s="3"/>
    </row>
    <row r="93" customFormat="false" ht="13.8" hidden="false" customHeight="false" outlineLevel="0" collapsed="false">
      <c r="A93" s="1" t="n">
        <v>1464</v>
      </c>
      <c r="B93" s="2" t="n">
        <v>471.42</v>
      </c>
      <c r="C93" s="1" t="n">
        <v>0.05</v>
      </c>
      <c r="D93" s="1" t="n">
        <v>20</v>
      </c>
      <c r="E93" s="4" t="n">
        <f aca="false">D93*C93</f>
        <v>1</v>
      </c>
      <c r="F93" s="3" t="n">
        <v>-0.07257472</v>
      </c>
      <c r="G93" s="4" t="n">
        <v>72.57472</v>
      </c>
      <c r="I93" s="3"/>
    </row>
    <row r="94" customFormat="false" ht="13.8" hidden="false" customHeight="false" outlineLevel="0" collapsed="false">
      <c r="A94" s="1" t="n">
        <v>1468</v>
      </c>
      <c r="B94" s="2" t="n">
        <v>389.31</v>
      </c>
      <c r="C94" s="1" t="n">
        <v>0.05</v>
      </c>
      <c r="D94" s="1" t="n">
        <v>20</v>
      </c>
      <c r="E94" s="4" t="n">
        <f aca="false">D94*C94</f>
        <v>1</v>
      </c>
      <c r="F94" s="3" t="n">
        <v>-0.05443104</v>
      </c>
      <c r="G94" s="4" t="n">
        <v>54.43104</v>
      </c>
      <c r="I94" s="3"/>
    </row>
    <row r="95" customFormat="false" ht="13.8" hidden="false" customHeight="false" outlineLevel="0" collapsed="false">
      <c r="A95" s="1" t="n">
        <v>1472</v>
      </c>
      <c r="B95" s="2" t="n">
        <v>309.71</v>
      </c>
      <c r="C95" s="1" t="n">
        <v>0.05</v>
      </c>
      <c r="D95" s="1" t="n">
        <v>20</v>
      </c>
      <c r="E95" s="4" t="n">
        <f aca="false">D95*C95</f>
        <v>1</v>
      </c>
      <c r="F95" s="3" t="n">
        <v>-0.03628736</v>
      </c>
      <c r="G95" s="4" t="n">
        <v>36.28736</v>
      </c>
      <c r="I95" s="3"/>
    </row>
    <row r="96" customFormat="false" ht="13.8" hidden="false" customHeight="false" outlineLevel="0" collapsed="false">
      <c r="A96" s="1" t="n">
        <v>1476</v>
      </c>
      <c r="B96" s="2" t="n">
        <v>0</v>
      </c>
      <c r="C96" s="1" t="n">
        <v>0</v>
      </c>
      <c r="D96" s="1" t="n">
        <v>20</v>
      </c>
      <c r="E96" s="4" t="n">
        <f aca="false">D96*C96</f>
        <v>0</v>
      </c>
      <c r="F96" s="3" t="n">
        <v>0</v>
      </c>
      <c r="G96" s="4" t="n">
        <v>0</v>
      </c>
      <c r="I96" s="3"/>
    </row>
    <row r="97" customFormat="false" ht="13.8" hidden="false" customHeight="false" outlineLevel="0" collapsed="false">
      <c r="A97" s="1" t="n">
        <v>1480</v>
      </c>
      <c r="B97" s="2" t="n">
        <v>0</v>
      </c>
      <c r="C97" s="1" t="n">
        <v>0</v>
      </c>
      <c r="D97" s="1" t="n">
        <v>20</v>
      </c>
      <c r="E97" s="4" t="n">
        <f aca="false">D97*C97</f>
        <v>0</v>
      </c>
      <c r="F97" s="3" t="n">
        <v>0</v>
      </c>
      <c r="G97" s="4" t="n">
        <v>0</v>
      </c>
      <c r="I97" s="3"/>
    </row>
    <row r="98" customFormat="false" ht="13.8" hidden="false" customHeight="false" outlineLevel="0" collapsed="false">
      <c r="A98" s="1" t="n">
        <v>1484</v>
      </c>
      <c r="B98" s="2" t="n">
        <v>0</v>
      </c>
      <c r="C98" s="1" t="n">
        <v>0</v>
      </c>
      <c r="D98" s="1" t="n">
        <v>20</v>
      </c>
      <c r="E98" s="4" t="n">
        <f aca="false">D98*C98</f>
        <v>0</v>
      </c>
      <c r="F98" s="3" t="n">
        <v>0</v>
      </c>
      <c r="G98" s="4" t="n">
        <v>0</v>
      </c>
      <c r="I98" s="3"/>
    </row>
    <row r="99" customFormat="false" ht="13.8" hidden="false" customHeight="false" outlineLevel="0" collapsed="false">
      <c r="A99" s="1" t="n">
        <v>1488</v>
      </c>
      <c r="B99" s="2" t="n">
        <v>0</v>
      </c>
      <c r="C99" s="1" t="n">
        <v>0</v>
      </c>
      <c r="D99" s="1" t="n">
        <v>20</v>
      </c>
      <c r="E99" s="4" t="n">
        <f aca="false">D99*C99</f>
        <v>0</v>
      </c>
      <c r="F99" s="3" t="n">
        <v>0</v>
      </c>
      <c r="G99" s="4" t="n">
        <v>0</v>
      </c>
      <c r="I99" s="3"/>
    </row>
    <row r="100" customFormat="false" ht="13.8" hidden="false" customHeight="false" outlineLevel="0" collapsed="false">
      <c r="A100" s="1" t="n">
        <v>1492</v>
      </c>
      <c r="B100" s="2" t="n">
        <v>0</v>
      </c>
      <c r="C100" s="1" t="n">
        <v>0</v>
      </c>
      <c r="D100" s="1" t="n">
        <v>20</v>
      </c>
      <c r="E100" s="4" t="n">
        <f aca="false">D100*C100</f>
        <v>0</v>
      </c>
      <c r="F100" s="3" t="n">
        <v>0</v>
      </c>
      <c r="G100" s="4" t="n">
        <v>0</v>
      </c>
      <c r="I100" s="3"/>
    </row>
    <row r="101" customFormat="false" ht="13.8" hidden="false" customHeight="false" outlineLevel="0" collapsed="false">
      <c r="A101" s="1" t="n">
        <v>1496</v>
      </c>
      <c r="B101" s="2" t="n">
        <v>0</v>
      </c>
      <c r="C101" s="1" t="n">
        <v>0</v>
      </c>
      <c r="D101" s="1" t="n">
        <v>20</v>
      </c>
      <c r="E101" s="4" t="n">
        <f aca="false">D101*C101</f>
        <v>0</v>
      </c>
      <c r="F101" s="3" t="n">
        <v>0</v>
      </c>
      <c r="G101" s="4" t="n">
        <v>0</v>
      </c>
      <c r="I101" s="3"/>
    </row>
    <row r="102" customFormat="false" ht="13.8" hidden="false" customHeight="false" outlineLevel="0" collapsed="false">
      <c r="A102" s="1" t="n">
        <v>1500</v>
      </c>
      <c r="B102" s="2" t="n">
        <v>0</v>
      </c>
      <c r="C102" s="1" t="n">
        <v>0</v>
      </c>
      <c r="D102" s="1" t="n">
        <v>20</v>
      </c>
      <c r="E102" s="4" t="n">
        <f aca="false">D102*C102</f>
        <v>0</v>
      </c>
      <c r="F102" s="3" t="n">
        <v>0</v>
      </c>
      <c r="G102" s="4" t="n">
        <v>0</v>
      </c>
      <c r="I102" s="3"/>
    </row>
    <row r="103" customFormat="false" ht="13.8" hidden="false" customHeight="false" outlineLevel="0" collapsed="false">
      <c r="A103" s="1" t="n">
        <v>1504</v>
      </c>
      <c r="B103" s="2" t="n">
        <v>0</v>
      </c>
      <c r="C103" s="1" t="n">
        <v>0</v>
      </c>
      <c r="D103" s="1" t="n">
        <v>20</v>
      </c>
      <c r="E103" s="4" t="n">
        <f aca="false">D103*C103</f>
        <v>0</v>
      </c>
      <c r="F103" s="3" t="n">
        <v>0</v>
      </c>
      <c r="G103" s="4" t="n">
        <v>0</v>
      </c>
      <c r="I103" s="3"/>
    </row>
    <row r="104" customFormat="false" ht="13.8" hidden="false" customHeight="false" outlineLevel="0" collapsed="false">
      <c r="A104" s="1" t="n">
        <v>1508</v>
      </c>
      <c r="B104" s="2" t="n">
        <v>0</v>
      </c>
      <c r="C104" s="1" t="n">
        <v>0</v>
      </c>
      <c r="D104" s="1" t="n">
        <v>20</v>
      </c>
      <c r="E104" s="4" t="n">
        <f aca="false">D104*C104</f>
        <v>0</v>
      </c>
      <c r="F104" s="3" t="n">
        <v>0</v>
      </c>
      <c r="G104" s="4" t="n">
        <v>0</v>
      </c>
      <c r="I104" s="3"/>
    </row>
    <row r="105" customFormat="false" ht="13.8" hidden="false" customHeight="false" outlineLevel="0" collapsed="false">
      <c r="A105" s="1" t="n">
        <v>1512</v>
      </c>
      <c r="B105" s="2" t="n">
        <v>0</v>
      </c>
      <c r="C105" s="1" t="n">
        <v>0</v>
      </c>
      <c r="D105" s="1" t="n">
        <v>20</v>
      </c>
      <c r="E105" s="4" t="n">
        <f aca="false">D105*C105</f>
        <v>0</v>
      </c>
      <c r="F105" s="3" t="n">
        <v>0</v>
      </c>
      <c r="G105" s="4" t="n">
        <v>0</v>
      </c>
      <c r="I105" s="3"/>
    </row>
    <row r="106" customFormat="false" ht="13.8" hidden="false" customHeight="false" outlineLevel="0" collapsed="false">
      <c r="A106" s="1" t="n">
        <v>1516</v>
      </c>
      <c r="B106" s="2" t="n">
        <v>0</v>
      </c>
      <c r="C106" s="1" t="n">
        <v>0</v>
      </c>
      <c r="D106" s="1" t="n">
        <v>20</v>
      </c>
      <c r="E106" s="4" t="n">
        <f aca="false">D106*C106</f>
        <v>0</v>
      </c>
      <c r="F106" s="3" t="n">
        <v>0</v>
      </c>
      <c r="G106" s="4" t="n">
        <v>0</v>
      </c>
      <c r="I106" s="3"/>
    </row>
    <row r="107" customFormat="false" ht="13.8" hidden="false" customHeight="false" outlineLevel="0" collapsed="false">
      <c r="A107" s="1" t="n">
        <v>1520</v>
      </c>
      <c r="B107" s="2" t="n">
        <v>0</v>
      </c>
      <c r="C107" s="1" t="n">
        <v>0</v>
      </c>
      <c r="D107" s="1" t="n">
        <v>20</v>
      </c>
      <c r="E107" s="4" t="n">
        <f aca="false">D107*C107</f>
        <v>0</v>
      </c>
      <c r="F107" s="3" t="n">
        <v>0</v>
      </c>
      <c r="G107" s="4" t="n">
        <v>0</v>
      </c>
      <c r="I107" s="3"/>
    </row>
    <row r="108" customFormat="false" ht="13.8" hidden="false" customHeight="false" outlineLevel="0" collapsed="false">
      <c r="A108" s="1" t="n">
        <v>1524</v>
      </c>
      <c r="B108" s="2" t="n">
        <v>0</v>
      </c>
      <c r="C108" s="1" t="n">
        <v>0</v>
      </c>
      <c r="D108" s="1" t="n">
        <v>20</v>
      </c>
      <c r="E108" s="4" t="n">
        <f aca="false">D108*C108</f>
        <v>0</v>
      </c>
      <c r="F108" s="3" t="n">
        <v>0</v>
      </c>
      <c r="G108" s="4" t="n">
        <v>0</v>
      </c>
      <c r="I108" s="3"/>
    </row>
    <row r="109" customFormat="false" ht="13.8" hidden="false" customHeight="false" outlineLevel="0" collapsed="false">
      <c r="A109" s="1" t="n">
        <v>1528</v>
      </c>
      <c r="B109" s="2" t="n">
        <v>0</v>
      </c>
      <c r="C109" s="1" t="n">
        <v>0</v>
      </c>
      <c r="D109" s="1" t="n">
        <v>20</v>
      </c>
      <c r="E109" s="4" t="n">
        <f aca="false">D109*C109</f>
        <v>0</v>
      </c>
      <c r="F109" s="3" t="n">
        <v>0</v>
      </c>
      <c r="G109" s="4" t="n">
        <v>0</v>
      </c>
      <c r="I109" s="3"/>
    </row>
    <row r="110" customFormat="false" ht="13.8" hidden="false" customHeight="false" outlineLevel="0" collapsed="false">
      <c r="A110" s="1" t="n">
        <v>1532</v>
      </c>
      <c r="B110" s="2" t="n">
        <v>379.24</v>
      </c>
      <c r="C110" s="1" t="n">
        <v>0.05</v>
      </c>
      <c r="D110" s="1" t="n">
        <v>20</v>
      </c>
      <c r="E110" s="4" t="n">
        <f aca="false">D110*C110</f>
        <v>1</v>
      </c>
      <c r="F110" s="3" t="n">
        <v>0.05896696</v>
      </c>
      <c r="G110" s="4" t="n">
        <v>58.96696</v>
      </c>
      <c r="I110" s="3"/>
    </row>
    <row r="111" customFormat="false" ht="13.8" hidden="false" customHeight="false" outlineLevel="0" collapsed="false">
      <c r="A111" s="1" t="n">
        <v>1536</v>
      </c>
      <c r="B111" s="2" t="n">
        <v>457.08</v>
      </c>
      <c r="C111" s="1" t="n">
        <v>0.05</v>
      </c>
      <c r="D111" s="1" t="n">
        <v>20</v>
      </c>
      <c r="E111" s="4" t="n">
        <f aca="false">D111*C111</f>
        <v>1</v>
      </c>
      <c r="F111" s="3" t="n">
        <v>0.08618248</v>
      </c>
      <c r="G111" s="4" t="n">
        <v>86.18248</v>
      </c>
      <c r="I111" s="3"/>
    </row>
    <row r="112" customFormat="false" ht="13.8" hidden="false" customHeight="false" outlineLevel="0" collapsed="false">
      <c r="A112" s="1" t="n">
        <v>1540</v>
      </c>
      <c r="B112" s="2" t="n">
        <v>531.72</v>
      </c>
      <c r="C112" s="1" t="n">
        <v>0.05</v>
      </c>
      <c r="D112" s="1" t="n">
        <v>20</v>
      </c>
      <c r="E112" s="4" t="n">
        <f aca="false">D112*C112</f>
        <v>1</v>
      </c>
      <c r="F112" s="3" t="n">
        <v>0.113398</v>
      </c>
      <c r="G112" s="4" t="n">
        <v>113.398</v>
      </c>
      <c r="I112" s="3"/>
    </row>
    <row r="113" customFormat="false" ht="13.8" hidden="false" customHeight="false" outlineLevel="0" collapsed="false">
      <c r="A113" s="1" t="n">
        <v>1544</v>
      </c>
      <c r="B113" s="2" t="n">
        <v>605.26</v>
      </c>
      <c r="C113" s="1" t="n">
        <v>0.1</v>
      </c>
      <c r="D113" s="1" t="n">
        <v>20</v>
      </c>
      <c r="E113" s="4" t="n">
        <f aca="false">D113*C113</f>
        <v>2</v>
      </c>
      <c r="F113" s="3" t="n">
        <v>0.14968536</v>
      </c>
      <c r="G113" s="4" t="n">
        <v>74.84268</v>
      </c>
      <c r="I113" s="3"/>
    </row>
    <row r="114" customFormat="false" ht="13.8" hidden="false" customHeight="false" outlineLevel="0" collapsed="false">
      <c r="A114" s="1" t="n">
        <v>1548</v>
      </c>
      <c r="B114" s="2" t="n">
        <v>676.13</v>
      </c>
      <c r="C114" s="1" t="n">
        <v>0.1</v>
      </c>
      <c r="D114" s="1" t="n">
        <v>20</v>
      </c>
      <c r="E114" s="4" t="n">
        <f aca="false">D114*C114</f>
        <v>2</v>
      </c>
      <c r="F114" s="3" t="n">
        <v>0.1814368</v>
      </c>
      <c r="G114" s="4" t="n">
        <v>90.7184</v>
      </c>
      <c r="I114" s="3"/>
    </row>
    <row r="115" customFormat="false" ht="13.8" hidden="false" customHeight="false" outlineLevel="0" collapsed="false">
      <c r="A115" s="1" t="n">
        <v>1552</v>
      </c>
      <c r="B115" s="2" t="n">
        <v>735.49</v>
      </c>
      <c r="C115" s="1" t="n">
        <v>0.1</v>
      </c>
      <c r="D115" s="1" t="n">
        <v>20</v>
      </c>
      <c r="E115" s="4" t="n">
        <f aca="false">D115*C115</f>
        <v>2</v>
      </c>
      <c r="F115" s="3" t="n">
        <v>0.21318824</v>
      </c>
      <c r="G115" s="4" t="n">
        <v>106.59412</v>
      </c>
      <c r="I115" s="3"/>
    </row>
    <row r="116" customFormat="false" ht="13.8" hidden="false" customHeight="false" outlineLevel="0" collapsed="false">
      <c r="A116" s="1" t="n">
        <v>1556</v>
      </c>
      <c r="B116" s="2" t="n">
        <v>796.87</v>
      </c>
      <c r="C116" s="1" t="n">
        <v>0.2</v>
      </c>
      <c r="D116" s="1" t="n">
        <v>20</v>
      </c>
      <c r="E116" s="4" t="n">
        <f aca="false">D116*C116</f>
        <v>4</v>
      </c>
      <c r="F116" s="3" t="n">
        <v>0.2494756</v>
      </c>
      <c r="G116" s="4" t="n">
        <v>62.3689</v>
      </c>
      <c r="I116" s="3"/>
    </row>
    <row r="117" customFormat="false" ht="13.8" hidden="false" customHeight="false" outlineLevel="0" collapsed="false">
      <c r="A117" s="1" t="n">
        <v>1560</v>
      </c>
      <c r="B117" s="2" t="n">
        <v>857.41</v>
      </c>
      <c r="C117" s="1" t="n">
        <v>0.2</v>
      </c>
      <c r="D117" s="1" t="n">
        <v>20</v>
      </c>
      <c r="E117" s="4" t="n">
        <f aca="false">D117*C117</f>
        <v>4</v>
      </c>
      <c r="F117" s="3" t="n">
        <v>0.28576296</v>
      </c>
      <c r="G117" s="4" t="n">
        <v>71.44074</v>
      </c>
      <c r="I117" s="3"/>
    </row>
    <row r="118" customFormat="false" ht="13.8" hidden="false" customHeight="false" outlineLevel="0" collapsed="false">
      <c r="A118" s="1" t="n">
        <v>1564</v>
      </c>
      <c r="B118" s="2" t="n">
        <v>904.62</v>
      </c>
      <c r="C118" s="1" t="n">
        <v>0.2</v>
      </c>
      <c r="D118" s="1" t="n">
        <v>20</v>
      </c>
      <c r="E118" s="4" t="n">
        <f aca="false">D118*C118</f>
        <v>4</v>
      </c>
      <c r="F118" s="3" t="n">
        <v>0.32205032</v>
      </c>
      <c r="G118" s="4" t="n">
        <v>80.51258</v>
      </c>
      <c r="I118" s="3"/>
    </row>
    <row r="119" customFormat="false" ht="13.8" hidden="false" customHeight="false" outlineLevel="0" collapsed="false">
      <c r="A119" s="1" t="n">
        <v>1568</v>
      </c>
      <c r="B119" s="2" t="n">
        <v>962.88</v>
      </c>
      <c r="C119" s="1" t="n">
        <v>0.3</v>
      </c>
      <c r="D119" s="1" t="n">
        <v>20</v>
      </c>
      <c r="E119" s="4" t="n">
        <f aca="false">D119*C119</f>
        <v>6</v>
      </c>
      <c r="F119" s="3" t="n">
        <v>0.3628736</v>
      </c>
      <c r="G119" s="4" t="n">
        <v>60.4789333333333</v>
      </c>
      <c r="I119" s="3"/>
    </row>
    <row r="120" customFormat="false" ht="13.8" hidden="false" customHeight="false" outlineLevel="0" collapsed="false">
      <c r="A120" s="1" t="n">
        <v>1572</v>
      </c>
      <c r="B120" s="2" t="n">
        <v>1000.77</v>
      </c>
      <c r="C120" s="1" t="n">
        <v>0.4</v>
      </c>
      <c r="D120" s="1" t="n">
        <v>20</v>
      </c>
      <c r="E120" s="4" t="n">
        <f aca="false">D120*C120</f>
        <v>8</v>
      </c>
      <c r="F120" s="3" t="n">
        <v>0.39008912</v>
      </c>
      <c r="G120" s="4" t="n">
        <v>48.76114</v>
      </c>
      <c r="I120" s="3"/>
    </row>
    <row r="121" customFormat="false" ht="13.8" hidden="false" customHeight="false" outlineLevel="0" collapsed="false">
      <c r="A121" s="1" t="n">
        <v>1576</v>
      </c>
      <c r="B121" s="2" t="n">
        <v>1045.53</v>
      </c>
      <c r="C121" s="1" t="n">
        <v>0.4</v>
      </c>
      <c r="D121" s="1" t="n">
        <v>20</v>
      </c>
      <c r="E121" s="4" t="n">
        <f aca="false">D121*C121</f>
        <v>8</v>
      </c>
      <c r="F121" s="3" t="n">
        <v>0.42637648</v>
      </c>
      <c r="G121" s="4" t="n">
        <v>53.29706</v>
      </c>
      <c r="I121" s="3"/>
    </row>
    <row r="122" customFormat="false" ht="13.8" hidden="false" customHeight="false" outlineLevel="0" collapsed="false">
      <c r="A122" s="1" t="n">
        <v>1580</v>
      </c>
      <c r="B122" s="2" t="n">
        <v>1091.64</v>
      </c>
      <c r="C122" s="1" t="n">
        <v>0.5</v>
      </c>
      <c r="D122" s="1" t="n">
        <v>20</v>
      </c>
      <c r="E122" s="4" t="n">
        <f aca="false">D122*C122</f>
        <v>10</v>
      </c>
      <c r="F122" s="3" t="n">
        <v>0.46719976</v>
      </c>
      <c r="G122" s="4" t="n">
        <v>46.719976</v>
      </c>
      <c r="I122" s="3"/>
    </row>
    <row r="123" customFormat="false" ht="13.8" hidden="false" customHeight="false" outlineLevel="0" collapsed="false">
      <c r="A123" s="1" t="n">
        <v>1584</v>
      </c>
      <c r="B123" s="2" t="n">
        <v>1128.73</v>
      </c>
      <c r="C123" s="1" t="n">
        <v>0.5</v>
      </c>
      <c r="D123" s="1" t="n">
        <v>20</v>
      </c>
      <c r="E123" s="4" t="n">
        <f aca="false">D123*C123</f>
        <v>10</v>
      </c>
      <c r="F123" s="3" t="n">
        <v>0.4989512</v>
      </c>
      <c r="G123" s="4" t="n">
        <v>49.89512</v>
      </c>
      <c r="I123" s="3"/>
    </row>
    <row r="124" customFormat="false" ht="13.8" hidden="false" customHeight="false" outlineLevel="0" collapsed="false">
      <c r="A124" s="1" t="n">
        <v>1588</v>
      </c>
      <c r="B124" s="2" t="n">
        <v>1162.45</v>
      </c>
      <c r="C124" s="1" t="n">
        <v>0.6</v>
      </c>
      <c r="D124" s="1" t="n">
        <v>20</v>
      </c>
      <c r="E124" s="4" t="n">
        <f aca="false">D124*C124</f>
        <v>12</v>
      </c>
      <c r="F124" s="3" t="n">
        <v>0.53523856</v>
      </c>
      <c r="G124" s="4" t="n">
        <v>44.6032133333333</v>
      </c>
      <c r="I124" s="3"/>
    </row>
    <row r="125" customFormat="false" ht="13.8" hidden="false" customHeight="false" outlineLevel="0" collapsed="false">
      <c r="A125" s="1" t="n">
        <v>1592</v>
      </c>
      <c r="B125" s="2" t="n">
        <v>1206.9</v>
      </c>
      <c r="C125" s="1" t="n">
        <v>0.7</v>
      </c>
      <c r="D125" s="1" t="n">
        <v>20</v>
      </c>
      <c r="E125" s="4" t="n">
        <f aca="false">D125*C125</f>
        <v>14</v>
      </c>
      <c r="F125" s="3" t="n">
        <v>0.57152592</v>
      </c>
      <c r="G125" s="4" t="n">
        <v>40.82328</v>
      </c>
      <c r="I125" s="3"/>
    </row>
    <row r="126" customFormat="false" ht="13.8" hidden="false" customHeight="false" outlineLevel="0" collapsed="false">
      <c r="A126" s="1" t="n">
        <v>1596</v>
      </c>
      <c r="B126" s="2" t="n">
        <v>1240.12</v>
      </c>
      <c r="C126" s="1" t="n">
        <v>0.7</v>
      </c>
      <c r="D126" s="1" t="n">
        <v>20</v>
      </c>
      <c r="E126" s="4" t="n">
        <f aca="false">D126*C126</f>
        <v>14</v>
      </c>
      <c r="F126" s="3" t="n">
        <v>0.60781328</v>
      </c>
      <c r="G126" s="4" t="n">
        <v>43.4152342857143</v>
      </c>
      <c r="I126" s="3"/>
    </row>
    <row r="127" customFormat="false" ht="13.8" hidden="false" customHeight="false" outlineLevel="0" collapsed="false">
      <c r="A127" s="1" t="n">
        <v>1600</v>
      </c>
      <c r="B127" s="2" t="n">
        <v>1272.94</v>
      </c>
      <c r="C127" s="1" t="n">
        <v>0.8</v>
      </c>
      <c r="D127" s="1" t="n">
        <v>20</v>
      </c>
      <c r="E127" s="4" t="n">
        <f aca="false">D127*C127</f>
        <v>16</v>
      </c>
      <c r="F127" s="3" t="n">
        <v>0.63956472</v>
      </c>
      <c r="G127" s="4" t="n">
        <v>39.972795</v>
      </c>
      <c r="I127" s="3"/>
    </row>
    <row r="128" customFormat="false" ht="13.8" hidden="false" customHeight="false" outlineLevel="0" collapsed="false">
      <c r="A128" s="1" t="n">
        <v>1604</v>
      </c>
      <c r="B128" s="2" t="n">
        <v>1304.81</v>
      </c>
      <c r="C128" s="1" t="n">
        <v>0.8</v>
      </c>
      <c r="D128" s="1" t="n">
        <v>20</v>
      </c>
      <c r="E128" s="4" t="n">
        <f aca="false">D128*C128</f>
        <v>16</v>
      </c>
      <c r="F128" s="3" t="n">
        <v>0.66224432</v>
      </c>
      <c r="G128" s="4" t="n">
        <v>41.39027</v>
      </c>
      <c r="I128" s="3"/>
    </row>
    <row r="129" customFormat="false" ht="13.8" hidden="false" customHeight="false" outlineLevel="0" collapsed="false">
      <c r="A129" s="1" t="n">
        <v>1608</v>
      </c>
      <c r="B129" s="2" t="n">
        <v>1333.98</v>
      </c>
      <c r="C129" s="1" t="n">
        <v>0.96</v>
      </c>
      <c r="D129" s="1" t="n">
        <v>20</v>
      </c>
      <c r="E129" s="4" t="n">
        <f aca="false">D129*C129</f>
        <v>19.2</v>
      </c>
      <c r="F129" s="3" t="n">
        <v>0.69853168</v>
      </c>
      <c r="G129" s="4" t="n">
        <v>36.3818583333333</v>
      </c>
      <c r="I129" s="3"/>
    </row>
    <row r="130" customFormat="false" ht="13.8" hidden="false" customHeight="false" outlineLevel="0" collapsed="false">
      <c r="A130" s="1" t="n">
        <v>1612</v>
      </c>
      <c r="B130" s="2" t="n">
        <v>1366.51</v>
      </c>
      <c r="C130" s="1" t="n">
        <v>1</v>
      </c>
      <c r="D130" s="1" t="n">
        <v>20</v>
      </c>
      <c r="E130" s="4" t="n">
        <f aca="false">D130*C130</f>
        <v>20</v>
      </c>
      <c r="F130" s="3" t="n">
        <v>0.73935496</v>
      </c>
      <c r="G130" s="4" t="n">
        <v>36.967748</v>
      </c>
      <c r="I130" s="3"/>
    </row>
    <row r="131" customFormat="false" ht="13.8" hidden="false" customHeight="false" outlineLevel="0" collapsed="false">
      <c r="A131" s="1" t="n">
        <v>1616</v>
      </c>
      <c r="B131" s="2" t="n">
        <v>1407.4</v>
      </c>
      <c r="C131" s="1" t="n">
        <v>1.1</v>
      </c>
      <c r="D131" s="1" t="n">
        <v>20</v>
      </c>
      <c r="E131" s="4" t="n">
        <f aca="false">D131*C131</f>
        <v>22</v>
      </c>
      <c r="F131" s="3" t="n">
        <v>0.78017824</v>
      </c>
      <c r="G131" s="4" t="n">
        <v>35.4626472727273</v>
      </c>
      <c r="I131" s="3"/>
    </row>
    <row r="132" customFormat="false" ht="13.8" hidden="false" customHeight="false" outlineLevel="0" collapsed="false">
      <c r="A132" s="1" t="n">
        <v>1620</v>
      </c>
      <c r="B132" s="2" t="n">
        <v>1441.12</v>
      </c>
      <c r="C132" s="1" t="n">
        <v>1.2</v>
      </c>
      <c r="D132" s="1" t="n">
        <v>20</v>
      </c>
      <c r="E132" s="4" t="n">
        <f aca="false">D132*C132</f>
        <v>24</v>
      </c>
      <c r="F132" s="3" t="n">
        <v>0.8164656</v>
      </c>
      <c r="G132" s="4" t="n">
        <v>34.0194</v>
      </c>
      <c r="I132" s="3"/>
    </row>
    <row r="133" customFormat="false" ht="13.8" hidden="false" customHeight="false" outlineLevel="0" collapsed="false">
      <c r="A133" s="1" t="n">
        <v>1624</v>
      </c>
      <c r="B133" s="2" t="n">
        <v>1472.19</v>
      </c>
      <c r="C133" s="1" t="n">
        <v>1.3</v>
      </c>
      <c r="D133" s="1" t="n">
        <v>20</v>
      </c>
      <c r="E133" s="4" t="n">
        <f aca="false">D133*C133</f>
        <v>26</v>
      </c>
      <c r="F133" s="3" t="n">
        <v>0.8618248</v>
      </c>
      <c r="G133" s="4" t="n">
        <v>33.1471076923077</v>
      </c>
      <c r="I133" s="3"/>
    </row>
    <row r="134" customFormat="false" ht="13.8" hidden="false" customHeight="false" outlineLevel="0" collapsed="false">
      <c r="A134" s="1" t="n">
        <v>1628</v>
      </c>
      <c r="B134" s="2" t="n">
        <v>1505.68</v>
      </c>
      <c r="C134" s="1" t="n">
        <v>1.4</v>
      </c>
      <c r="D134" s="1" t="n">
        <v>20</v>
      </c>
      <c r="E134" s="4" t="n">
        <f aca="false">D134*C134</f>
        <v>28</v>
      </c>
      <c r="F134" s="3" t="n">
        <v>0.88904032</v>
      </c>
      <c r="G134" s="4" t="n">
        <v>31.75144</v>
      </c>
      <c r="I134" s="3"/>
    </row>
    <row r="135" customFormat="false" ht="13.8" hidden="false" customHeight="false" outlineLevel="0" collapsed="false">
      <c r="A135" s="1" t="n">
        <v>1632</v>
      </c>
      <c r="B135" s="2" t="n">
        <v>1537.45</v>
      </c>
      <c r="C135" s="1" t="n">
        <v>1.51</v>
      </c>
      <c r="D135" s="1" t="n">
        <v>20</v>
      </c>
      <c r="E135" s="4" t="n">
        <f aca="false">D135*C135</f>
        <v>30.2</v>
      </c>
      <c r="F135" s="3" t="n">
        <v>0.93439952</v>
      </c>
      <c r="G135" s="4" t="n">
        <v>30.9403814569536</v>
      </c>
      <c r="I135" s="3"/>
    </row>
    <row r="136" customFormat="false" ht="13.8" hidden="false" customHeight="false" outlineLevel="0" collapsed="false">
      <c r="A136" s="1" t="n">
        <v>1636</v>
      </c>
      <c r="B136" s="2" t="n">
        <v>1571.27</v>
      </c>
      <c r="C136" s="1" t="n">
        <v>1.6</v>
      </c>
      <c r="D136" s="1" t="n">
        <v>20</v>
      </c>
      <c r="E136" s="4" t="n">
        <f aca="false">D136*C136</f>
        <v>32</v>
      </c>
      <c r="F136" s="3" t="n">
        <v>0.9752228</v>
      </c>
      <c r="G136" s="4" t="n">
        <v>30.4757125</v>
      </c>
      <c r="I136" s="3"/>
    </row>
    <row r="137" customFormat="false" ht="13.8" hidden="false" customHeight="false" outlineLevel="0" collapsed="false">
      <c r="A137" s="1" t="n">
        <v>1640</v>
      </c>
      <c r="B137" s="2" t="n">
        <v>1603.29</v>
      </c>
      <c r="C137" s="1" t="n">
        <v>1.79</v>
      </c>
      <c r="D137" s="1" t="n">
        <v>20</v>
      </c>
      <c r="E137" s="4" t="n">
        <f aca="false">D137*C137</f>
        <v>35.8</v>
      </c>
      <c r="F137" s="3" t="n">
        <v>1.020582</v>
      </c>
      <c r="G137" s="4" t="n">
        <v>28.5078770949721</v>
      </c>
      <c r="I137" s="3"/>
    </row>
    <row r="138" customFormat="false" ht="13.8" hidden="false" customHeight="false" outlineLevel="0" collapsed="false">
      <c r="A138" s="1" t="n">
        <v>1644</v>
      </c>
      <c r="B138" s="2" t="n">
        <v>1643.93</v>
      </c>
      <c r="C138" s="1" t="n">
        <v>1.9</v>
      </c>
      <c r="D138" s="1" t="n">
        <v>20</v>
      </c>
      <c r="E138" s="4" t="n">
        <f aca="false">D138*C138</f>
        <v>38</v>
      </c>
      <c r="F138" s="3" t="n">
        <v>1.06140528</v>
      </c>
      <c r="G138" s="4" t="n">
        <v>27.9317178947368</v>
      </c>
      <c r="I138" s="3"/>
    </row>
    <row r="139" customFormat="false" ht="13.8" hidden="false" customHeight="false" outlineLevel="0" collapsed="false">
      <c r="A139" s="1" t="n">
        <v>1648</v>
      </c>
      <c r="B139" s="2" t="n">
        <v>1684.99</v>
      </c>
      <c r="C139" s="1" t="n">
        <v>2.06</v>
      </c>
      <c r="D139" s="1" t="n">
        <v>20</v>
      </c>
      <c r="E139" s="4" t="n">
        <f aca="false">D139*C139</f>
        <v>41.2</v>
      </c>
      <c r="F139" s="3" t="n">
        <v>1.12037224</v>
      </c>
      <c r="G139" s="4" t="n">
        <v>27.1935009708738</v>
      </c>
      <c r="I139" s="3"/>
    </row>
    <row r="140" customFormat="false" ht="13.8" hidden="false" customHeight="false" outlineLevel="0" collapsed="false">
      <c r="A140" s="1" t="n">
        <v>1652</v>
      </c>
      <c r="B140" s="2" t="n">
        <v>1720.02</v>
      </c>
      <c r="C140" s="1" t="n">
        <v>2.2</v>
      </c>
      <c r="D140" s="1" t="n">
        <v>20</v>
      </c>
      <c r="E140" s="4" t="n">
        <f aca="false">D140*C140</f>
        <v>44</v>
      </c>
      <c r="F140" s="3" t="n">
        <v>1.17026736</v>
      </c>
      <c r="G140" s="4" t="n">
        <v>26.5969854545455</v>
      </c>
      <c r="I140" s="3"/>
    </row>
    <row r="141" customFormat="false" ht="13.8" hidden="false" customHeight="false" outlineLevel="0" collapsed="false">
      <c r="A141" s="1" t="n">
        <v>1656</v>
      </c>
      <c r="B141" s="2" t="n">
        <v>1751.49</v>
      </c>
      <c r="C141" s="1" t="n">
        <v>2.37</v>
      </c>
      <c r="D141" s="1" t="n">
        <v>20</v>
      </c>
      <c r="E141" s="4" t="n">
        <f aca="false">D141*C141</f>
        <v>47.4</v>
      </c>
      <c r="F141" s="3" t="n">
        <v>1.22016248</v>
      </c>
      <c r="G141" s="4" t="n">
        <v>25.7418244725738</v>
      </c>
      <c r="I141" s="3"/>
    </row>
    <row r="142" customFormat="false" ht="13.8" hidden="false" customHeight="false" outlineLevel="0" collapsed="false">
      <c r="A142" s="1" t="n">
        <v>1660</v>
      </c>
      <c r="B142" s="2" t="n">
        <v>1797.04</v>
      </c>
      <c r="C142" s="1" t="n">
        <v>2.63</v>
      </c>
      <c r="D142" s="1" t="n">
        <v>20</v>
      </c>
      <c r="E142" s="4" t="n">
        <f aca="false">D142*C142</f>
        <v>52.6</v>
      </c>
      <c r="F142" s="3" t="n">
        <v>1.27912944</v>
      </c>
      <c r="G142" s="4" t="n">
        <v>24.3180501901141</v>
      </c>
      <c r="I142" s="3"/>
    </row>
    <row r="143" customFormat="false" ht="13.8" hidden="false" customHeight="false" outlineLevel="0" collapsed="false">
      <c r="A143" s="1" t="n">
        <v>1664</v>
      </c>
      <c r="B143" s="2" t="n">
        <v>1831.78</v>
      </c>
      <c r="C143" s="1" t="n">
        <v>2.82</v>
      </c>
      <c r="D143" s="1" t="n">
        <v>20</v>
      </c>
      <c r="E143" s="4" t="n">
        <f aca="false">D143*C143</f>
        <v>56.4</v>
      </c>
      <c r="F143" s="3" t="n">
        <v>1.31088088</v>
      </c>
      <c r="G143" s="4" t="n">
        <v>23.2425687943262</v>
      </c>
      <c r="I143" s="3"/>
    </row>
    <row r="144" customFormat="false" ht="13.8" hidden="false" customHeight="false" outlineLevel="0" collapsed="false">
      <c r="A144" s="1" t="n">
        <v>1668</v>
      </c>
      <c r="B144" s="2" t="n">
        <v>1867.84</v>
      </c>
      <c r="C144" s="1" t="n">
        <v>3.06</v>
      </c>
      <c r="D144" s="1" t="n">
        <v>20</v>
      </c>
      <c r="E144" s="4" t="n">
        <f aca="false">D144*C144</f>
        <v>61.2</v>
      </c>
      <c r="F144" s="3" t="n">
        <v>1.37891968</v>
      </c>
      <c r="G144" s="4" t="n">
        <v>22.5313673202614</v>
      </c>
      <c r="I144" s="3"/>
    </row>
    <row r="145" customFormat="false" ht="13.8" hidden="false" customHeight="false" outlineLevel="0" collapsed="false">
      <c r="A145" s="1" t="n">
        <v>1672</v>
      </c>
      <c r="B145" s="2" t="n">
        <v>1911.39</v>
      </c>
      <c r="C145" s="1" t="n">
        <v>3.28</v>
      </c>
      <c r="D145" s="1" t="n">
        <v>20</v>
      </c>
      <c r="E145" s="4" t="n">
        <f aca="false">D145*C145</f>
        <v>65.6</v>
      </c>
      <c r="F145" s="3" t="n">
        <v>1.43788664</v>
      </c>
      <c r="G145" s="4" t="n">
        <v>21.9190036585366</v>
      </c>
      <c r="I145" s="3"/>
    </row>
    <row r="146" customFormat="false" ht="13.8" hidden="false" customHeight="false" outlineLevel="0" collapsed="false">
      <c r="A146" s="1" t="n">
        <v>1676</v>
      </c>
      <c r="B146" s="2" t="n">
        <v>1950.29</v>
      </c>
      <c r="C146" s="1" t="n">
        <v>3.49</v>
      </c>
      <c r="D146" s="1" t="n">
        <v>20</v>
      </c>
      <c r="E146" s="4" t="n">
        <f aca="false">D146*C146</f>
        <v>69.8</v>
      </c>
      <c r="F146" s="3" t="n">
        <v>1.52860504</v>
      </c>
      <c r="G146" s="4" t="n">
        <v>21.8997856733524</v>
      </c>
      <c r="I146" s="3"/>
    </row>
    <row r="147" customFormat="false" ht="13.8" hidden="false" customHeight="false" outlineLevel="0" collapsed="false">
      <c r="A147" s="1" t="n">
        <v>1680</v>
      </c>
      <c r="B147" s="2" t="n">
        <v>1990.86</v>
      </c>
      <c r="C147" s="1" t="n">
        <v>3.72</v>
      </c>
      <c r="D147" s="1" t="n">
        <v>20</v>
      </c>
      <c r="E147" s="4" t="n">
        <f aca="false">D147*C147</f>
        <v>74.4</v>
      </c>
      <c r="F147" s="3" t="n">
        <v>1.58303608</v>
      </c>
      <c r="G147" s="4" t="n">
        <v>21.2773666666667</v>
      </c>
      <c r="I147" s="3"/>
    </row>
    <row r="148" customFormat="false" ht="13.8" hidden="false" customHeight="false" outlineLevel="0" collapsed="false">
      <c r="A148" s="1" t="n">
        <v>1684</v>
      </c>
      <c r="B148" s="2" t="n">
        <v>2040.3</v>
      </c>
      <c r="C148" s="1" t="n">
        <v>3.98</v>
      </c>
      <c r="D148" s="1" t="n">
        <v>20</v>
      </c>
      <c r="E148" s="4" t="n">
        <f aca="false">D148*C148</f>
        <v>79.6</v>
      </c>
      <c r="F148" s="3" t="n">
        <v>1.64200304</v>
      </c>
      <c r="G148" s="4" t="n">
        <v>20.6281788944724</v>
      </c>
      <c r="I148" s="3"/>
    </row>
    <row r="149" customFormat="false" ht="13.8" hidden="false" customHeight="false" outlineLevel="0" collapsed="false">
      <c r="A149" s="1" t="n">
        <v>1688</v>
      </c>
      <c r="B149" s="2" t="n">
        <v>2072.3</v>
      </c>
      <c r="C149" s="1" t="n">
        <v>4.26</v>
      </c>
      <c r="D149" s="1" t="n">
        <v>20</v>
      </c>
      <c r="E149" s="4" t="n">
        <f aca="false">D149*C149</f>
        <v>85.2</v>
      </c>
      <c r="F149" s="3" t="n">
        <v>1.73725736</v>
      </c>
      <c r="G149" s="4" t="n">
        <v>20.390344600939</v>
      </c>
      <c r="I149" s="3"/>
    </row>
    <row r="150" customFormat="false" ht="13.8" hidden="false" customHeight="false" outlineLevel="0" collapsed="false">
      <c r="A150" s="1" t="n">
        <v>1692</v>
      </c>
      <c r="B150" s="2" t="n">
        <v>2109.87</v>
      </c>
      <c r="C150" s="1" t="n">
        <v>4.59</v>
      </c>
      <c r="D150" s="1" t="n">
        <v>20</v>
      </c>
      <c r="E150" s="4" t="n">
        <f aca="false">D150*C150</f>
        <v>91.8</v>
      </c>
      <c r="F150" s="3" t="n">
        <v>1.80076024</v>
      </c>
      <c r="G150" s="4" t="n">
        <v>19.6161246187364</v>
      </c>
      <c r="I150" s="3"/>
    </row>
    <row r="151" customFormat="false" ht="13.8" hidden="false" customHeight="false" outlineLevel="0" collapsed="false">
      <c r="A151" s="1" t="n">
        <v>1696</v>
      </c>
      <c r="B151" s="2" t="n">
        <v>2144.76</v>
      </c>
      <c r="C151" s="1" t="n">
        <v>4.83</v>
      </c>
      <c r="D151" s="1" t="n">
        <v>20</v>
      </c>
      <c r="E151" s="4" t="n">
        <f aca="false">D151*C151</f>
        <v>96.6</v>
      </c>
      <c r="F151" s="3" t="n">
        <v>1.84611944</v>
      </c>
      <c r="G151" s="4" t="n">
        <v>19.1109672877847</v>
      </c>
      <c r="I151" s="3"/>
    </row>
    <row r="152" customFormat="false" ht="13.8" hidden="false" customHeight="false" outlineLevel="0" collapsed="false">
      <c r="A152" s="1" t="n">
        <v>1700</v>
      </c>
      <c r="B152" s="2" t="n">
        <v>2186.46</v>
      </c>
      <c r="C152" s="1" t="n">
        <v>5.08</v>
      </c>
      <c r="D152" s="1" t="n">
        <v>20</v>
      </c>
      <c r="E152" s="4" t="n">
        <f aca="false">D152*C152</f>
        <v>101.6</v>
      </c>
      <c r="F152" s="3" t="n">
        <v>1.91869416</v>
      </c>
      <c r="G152" s="4" t="n">
        <v>18.8847850393701</v>
      </c>
      <c r="I152" s="3"/>
    </row>
    <row r="153" customFormat="false" ht="13.8" hidden="false" customHeight="false" outlineLevel="0" collapsed="false">
      <c r="A153" s="1" t="n">
        <v>1704</v>
      </c>
      <c r="B153" s="2" t="n">
        <v>2217.68</v>
      </c>
      <c r="C153" s="1" t="n">
        <v>5.39</v>
      </c>
      <c r="D153" s="1" t="n">
        <v>20</v>
      </c>
      <c r="E153" s="4" t="n">
        <f aca="false">D153*C153</f>
        <v>107.8</v>
      </c>
      <c r="F153" s="3" t="n">
        <v>1.98219704</v>
      </c>
      <c r="G153" s="4" t="n">
        <v>18.3877276437848</v>
      </c>
      <c r="I153" s="3"/>
    </row>
    <row r="154" customFormat="false" ht="13.8" hidden="false" customHeight="false" outlineLevel="0" collapsed="false">
      <c r="A154" s="1" t="n">
        <v>1708</v>
      </c>
      <c r="B154" s="2" t="n">
        <v>2241.98</v>
      </c>
      <c r="C154" s="1" t="n">
        <v>5.66</v>
      </c>
      <c r="D154" s="1" t="n">
        <v>20</v>
      </c>
      <c r="E154" s="4" t="n">
        <f aca="false">D154*C154</f>
        <v>113.2</v>
      </c>
      <c r="F154" s="3" t="n">
        <v>2.06837952</v>
      </c>
      <c r="G154" s="4" t="n">
        <v>18.2719038869258</v>
      </c>
      <c r="I154" s="3"/>
    </row>
    <row r="155" customFormat="false" ht="13.8" hidden="false" customHeight="false" outlineLevel="0" collapsed="false">
      <c r="A155" s="1" t="n">
        <v>1712</v>
      </c>
      <c r="B155" s="2" t="n">
        <v>2292.34</v>
      </c>
      <c r="C155" s="1" t="n">
        <v>5.9</v>
      </c>
      <c r="D155" s="1" t="n">
        <v>20</v>
      </c>
      <c r="E155" s="4" t="n">
        <f aca="false">D155*C155</f>
        <v>118</v>
      </c>
      <c r="F155" s="3" t="n">
        <v>2.11827464</v>
      </c>
      <c r="G155" s="4" t="n">
        <v>17.95148</v>
      </c>
      <c r="I155" s="3"/>
    </row>
    <row r="156" customFormat="false" ht="13.8" hidden="false" customHeight="false" outlineLevel="0" collapsed="false">
      <c r="A156" s="1" t="n">
        <v>1716</v>
      </c>
      <c r="B156" s="2" t="n">
        <v>2320.82</v>
      </c>
      <c r="C156" s="1" t="n">
        <v>6.2</v>
      </c>
      <c r="D156" s="1" t="n">
        <v>20</v>
      </c>
      <c r="E156" s="4" t="n">
        <f aca="false">D156*C156</f>
        <v>124</v>
      </c>
      <c r="F156" s="3" t="n">
        <v>2.1999212</v>
      </c>
      <c r="G156" s="4" t="n">
        <v>17.7413</v>
      </c>
      <c r="I156" s="3"/>
    </row>
    <row r="157" customFormat="false" ht="13.8" hidden="false" customHeight="false" outlineLevel="0" collapsed="false">
      <c r="A157" s="1" t="n">
        <v>1720</v>
      </c>
      <c r="B157" s="2" t="n">
        <v>2370.79</v>
      </c>
      <c r="C157" s="1" t="n">
        <v>6.5</v>
      </c>
      <c r="D157" s="1" t="n">
        <v>20</v>
      </c>
      <c r="E157" s="4" t="n">
        <f aca="false">D157*C157</f>
        <v>130</v>
      </c>
      <c r="F157" s="3" t="n">
        <v>2.24981632</v>
      </c>
      <c r="G157" s="4" t="n">
        <v>17.3062793846154</v>
      </c>
      <c r="I157" s="3"/>
    </row>
    <row r="158" customFormat="false" ht="13.8" hidden="false" customHeight="false" outlineLevel="0" collapsed="false">
      <c r="A158" s="1" t="n">
        <v>1724</v>
      </c>
      <c r="B158" s="2" t="n">
        <v>2419.25</v>
      </c>
      <c r="C158" s="1" t="n">
        <v>6.87</v>
      </c>
      <c r="D158" s="1" t="n">
        <v>20</v>
      </c>
      <c r="E158" s="4" t="n">
        <f aca="false">D158*C158</f>
        <v>137.4</v>
      </c>
      <c r="F158" s="3" t="n">
        <v>2.32692696</v>
      </c>
      <c r="G158" s="4" t="n">
        <v>16.9354218340611</v>
      </c>
      <c r="I158" s="3"/>
    </row>
    <row r="159" customFormat="false" ht="13.8" hidden="false" customHeight="false" outlineLevel="0" collapsed="false">
      <c r="A159" s="1" t="n">
        <v>1728</v>
      </c>
      <c r="B159" s="2" t="n">
        <v>2451.89</v>
      </c>
      <c r="C159" s="1" t="n">
        <v>7.3</v>
      </c>
      <c r="D159" s="1" t="n">
        <v>20</v>
      </c>
      <c r="E159" s="4" t="n">
        <f aca="false">D159*C159</f>
        <v>146</v>
      </c>
      <c r="F159" s="3" t="n">
        <v>2.43578904</v>
      </c>
      <c r="G159" s="4" t="n">
        <v>16.6834865753425</v>
      </c>
      <c r="I159" s="3"/>
    </row>
    <row r="160" customFormat="false" ht="13.8" hidden="false" customHeight="false" outlineLevel="0" collapsed="false">
      <c r="A160" s="1" t="n">
        <v>1732</v>
      </c>
      <c r="B160" s="2" t="n">
        <v>2493.31</v>
      </c>
      <c r="C160" s="1" t="n">
        <v>7.72</v>
      </c>
      <c r="D160" s="1" t="n">
        <v>20</v>
      </c>
      <c r="E160" s="4" t="n">
        <f aca="false">D160*C160</f>
        <v>154.4</v>
      </c>
      <c r="F160" s="3" t="n">
        <v>2.52197152</v>
      </c>
      <c r="G160" s="4" t="n">
        <v>16.3340124352332</v>
      </c>
      <c r="I160" s="3"/>
    </row>
    <row r="161" customFormat="false" ht="13.8" hidden="false" customHeight="false" outlineLevel="0" collapsed="false">
      <c r="A161" s="1" t="n">
        <v>1736</v>
      </c>
      <c r="B161" s="2" t="n">
        <v>2520.2</v>
      </c>
      <c r="C161" s="1" t="n">
        <v>8.14</v>
      </c>
      <c r="D161" s="1" t="n">
        <v>20</v>
      </c>
      <c r="E161" s="4" t="n">
        <f aca="false">D161*C161</f>
        <v>162.8</v>
      </c>
      <c r="F161" s="3" t="n">
        <v>2.608154</v>
      </c>
      <c r="G161" s="4" t="n">
        <v>16.020601965602</v>
      </c>
      <c r="I161" s="3"/>
    </row>
    <row r="162" customFormat="false" ht="13.8" hidden="false" customHeight="false" outlineLevel="0" collapsed="false">
      <c r="A162" s="1" t="n">
        <v>1740</v>
      </c>
      <c r="B162" s="2" t="n">
        <v>2551.99</v>
      </c>
      <c r="C162" s="1" t="n">
        <v>8.53</v>
      </c>
      <c r="D162" s="1" t="n">
        <v>20</v>
      </c>
      <c r="E162" s="4" t="n">
        <f aca="false">D162*C162</f>
        <v>170.6</v>
      </c>
      <c r="F162" s="3" t="n">
        <v>2.66258504</v>
      </c>
      <c r="G162" s="4" t="n">
        <v>15.6071807737397</v>
      </c>
      <c r="I162" s="3"/>
    </row>
    <row r="163" customFormat="false" ht="13.8" hidden="false" customHeight="false" outlineLevel="0" collapsed="false">
      <c r="A163" s="1" t="n">
        <v>1744</v>
      </c>
      <c r="B163" s="2" t="n">
        <v>2592.8</v>
      </c>
      <c r="C163" s="1" t="n">
        <v>8.92</v>
      </c>
      <c r="D163" s="1" t="n">
        <v>20</v>
      </c>
      <c r="E163" s="4" t="n">
        <f aca="false">D163*C163</f>
        <v>178.4</v>
      </c>
      <c r="F163" s="3" t="n">
        <v>2.76237528</v>
      </c>
      <c r="G163" s="4" t="n">
        <v>15.484166367713</v>
      </c>
      <c r="I163" s="3"/>
    </row>
    <row r="164" customFormat="false" ht="13.8" hidden="false" customHeight="false" outlineLevel="0" collapsed="false">
      <c r="A164" s="1" t="n">
        <v>1748</v>
      </c>
      <c r="B164" s="2" t="n">
        <v>2621.42</v>
      </c>
      <c r="C164" s="1" t="n">
        <v>9.29</v>
      </c>
      <c r="D164" s="1" t="n">
        <v>20</v>
      </c>
      <c r="E164" s="4" t="n">
        <f aca="false">D164*C164</f>
        <v>185.8</v>
      </c>
      <c r="F164" s="3" t="n">
        <v>2.82587816</v>
      </c>
      <c r="G164" s="4" t="n">
        <v>15.2092473627557</v>
      </c>
      <c r="I164" s="3"/>
    </row>
    <row r="165" customFormat="false" ht="13.8" hidden="false" customHeight="false" outlineLevel="0" collapsed="false">
      <c r="A165" s="1" t="n">
        <v>1752</v>
      </c>
      <c r="B165" s="2" t="n">
        <v>2654.38</v>
      </c>
      <c r="C165" s="1" t="n">
        <v>9.7</v>
      </c>
      <c r="D165" s="1" t="n">
        <v>20</v>
      </c>
      <c r="E165" s="4" t="n">
        <f aca="false">D165*C165</f>
        <v>194</v>
      </c>
      <c r="F165" s="3" t="n">
        <v>2.90752472</v>
      </c>
      <c r="G165" s="4" t="n">
        <v>14.9872408247423</v>
      </c>
      <c r="I165" s="3"/>
    </row>
    <row r="166" customFormat="false" ht="13.8" hidden="false" customHeight="false" outlineLevel="0" collapsed="false">
      <c r="A166" s="1" t="n">
        <v>1756</v>
      </c>
      <c r="B166" s="2" t="n">
        <v>2695.99</v>
      </c>
      <c r="C166" s="1" t="n">
        <v>10</v>
      </c>
      <c r="D166" s="1" t="n">
        <v>20</v>
      </c>
      <c r="E166" s="4" t="n">
        <f aca="false">D166*C166</f>
        <v>200</v>
      </c>
      <c r="F166" s="3" t="n">
        <v>2.9937072</v>
      </c>
      <c r="G166" s="4" t="n">
        <v>14.968536</v>
      </c>
      <c r="I166" s="3"/>
    </row>
    <row r="167" customFormat="false" ht="13.8" hidden="false" customHeight="false" outlineLevel="0" collapsed="false">
      <c r="A167" s="1" t="n">
        <v>1760</v>
      </c>
      <c r="B167" s="2" t="n">
        <v>2723.4</v>
      </c>
      <c r="C167" s="1" t="n">
        <v>10.43</v>
      </c>
      <c r="D167" s="1" t="n">
        <v>20</v>
      </c>
      <c r="E167" s="4" t="n">
        <f aca="false">D167*C167</f>
        <v>208.6</v>
      </c>
      <c r="F167" s="3" t="n">
        <v>3.05721008</v>
      </c>
      <c r="G167" s="4" t="n">
        <v>14.6558488974113</v>
      </c>
      <c r="I167" s="3"/>
    </row>
    <row r="168" customFormat="false" ht="13.8" hidden="false" customHeight="false" outlineLevel="0" collapsed="false">
      <c r="A168" s="1" t="n">
        <v>1764</v>
      </c>
      <c r="B168" s="2" t="n">
        <v>2752.31</v>
      </c>
      <c r="C168" s="1" t="n">
        <v>10.77</v>
      </c>
      <c r="D168" s="1" t="n">
        <v>20</v>
      </c>
      <c r="E168" s="4" t="n">
        <f aca="false">D168*C168</f>
        <v>215.4</v>
      </c>
      <c r="F168" s="3" t="n">
        <v>3.13432072</v>
      </c>
      <c r="G168" s="4" t="n">
        <v>14.5511639740019</v>
      </c>
      <c r="I168" s="3"/>
    </row>
    <row r="169" customFormat="false" ht="13.8" hidden="false" customHeight="false" outlineLevel="0" collapsed="false">
      <c r="A169" s="1" t="n">
        <v>1768</v>
      </c>
      <c r="B169" s="2" t="n">
        <v>2787.86</v>
      </c>
      <c r="C169" s="1" t="n">
        <v>11.12</v>
      </c>
      <c r="D169" s="1" t="n">
        <v>20</v>
      </c>
      <c r="E169" s="4" t="n">
        <f aca="false">D169*C169</f>
        <v>222.4</v>
      </c>
      <c r="F169" s="3" t="n">
        <v>3.2205032</v>
      </c>
      <c r="G169" s="4" t="n">
        <v>14.4806798561151</v>
      </c>
      <c r="I169" s="3"/>
    </row>
    <row r="170" customFormat="false" ht="13.8" hidden="false" customHeight="false" outlineLevel="0" collapsed="false">
      <c r="A170" s="1" t="n">
        <v>1772</v>
      </c>
      <c r="B170" s="2" t="n">
        <v>2819.54</v>
      </c>
      <c r="C170" s="1" t="n">
        <v>11.47</v>
      </c>
      <c r="D170" s="1" t="n">
        <v>20</v>
      </c>
      <c r="E170" s="4" t="n">
        <f aca="false">D170*C170</f>
        <v>229.4</v>
      </c>
      <c r="F170" s="3" t="n">
        <v>3.27947016</v>
      </c>
      <c r="G170" s="4" t="n">
        <v>14.2958594594595</v>
      </c>
      <c r="I170" s="3"/>
    </row>
    <row r="171" customFormat="false" ht="13.8" hidden="false" customHeight="false" outlineLevel="0" collapsed="false">
      <c r="A171" s="1" t="n">
        <v>1776</v>
      </c>
      <c r="B171" s="2" t="n">
        <v>2860.78</v>
      </c>
      <c r="C171" s="1" t="n">
        <v>11.78</v>
      </c>
      <c r="D171" s="1" t="n">
        <v>20</v>
      </c>
      <c r="E171" s="4" t="n">
        <f aca="false">D171*C171</f>
        <v>235.6</v>
      </c>
      <c r="F171" s="3" t="n">
        <v>3.3565808</v>
      </c>
      <c r="G171" s="4" t="n">
        <v>14.2469473684211</v>
      </c>
      <c r="I171" s="3"/>
    </row>
    <row r="172" customFormat="false" ht="13.8" hidden="false" customHeight="false" outlineLevel="0" collapsed="false">
      <c r="A172" s="1" t="n">
        <v>1780</v>
      </c>
      <c r="B172" s="2" t="n">
        <v>2886.81</v>
      </c>
      <c r="C172" s="1" t="n">
        <v>12.23</v>
      </c>
      <c r="D172" s="1" t="n">
        <v>20</v>
      </c>
      <c r="E172" s="4" t="n">
        <f aca="false">D172*C172</f>
        <v>244.6</v>
      </c>
      <c r="F172" s="3" t="n">
        <v>3.44276328</v>
      </c>
      <c r="G172" s="4" t="n">
        <v>14.07507473426</v>
      </c>
      <c r="I172" s="3"/>
    </row>
    <row r="173" customFormat="false" ht="13.8" hidden="false" customHeight="false" outlineLevel="0" collapsed="false">
      <c r="A173" s="1" t="n">
        <v>1784</v>
      </c>
      <c r="B173" s="2" t="n">
        <v>2927.97</v>
      </c>
      <c r="C173" s="1" t="n">
        <v>12.62</v>
      </c>
      <c r="D173" s="1" t="n">
        <v>20</v>
      </c>
      <c r="E173" s="4" t="n">
        <f aca="false">D173*C173</f>
        <v>252.4</v>
      </c>
      <c r="F173" s="3" t="n">
        <v>3.54708944</v>
      </c>
      <c r="G173" s="4" t="n">
        <v>14.0534446909667</v>
      </c>
      <c r="I173" s="3"/>
    </row>
    <row r="174" customFormat="false" ht="13.8" hidden="false" customHeight="false" outlineLevel="0" collapsed="false">
      <c r="A174" s="1" t="n">
        <v>1788</v>
      </c>
      <c r="B174" s="2" t="n">
        <v>2967.82</v>
      </c>
      <c r="C174" s="1" t="n">
        <v>13</v>
      </c>
      <c r="D174" s="1" t="n">
        <v>20</v>
      </c>
      <c r="E174" s="4" t="n">
        <f aca="false">D174*C174</f>
        <v>260</v>
      </c>
      <c r="F174" s="3" t="n">
        <v>3.64234376</v>
      </c>
      <c r="G174" s="4" t="n">
        <v>14.0090144615385</v>
      </c>
      <c r="I174" s="3"/>
    </row>
    <row r="175" customFormat="false" ht="13.8" hidden="false" customHeight="false" outlineLevel="0" collapsed="false">
      <c r="A175" s="1" t="n">
        <v>1792</v>
      </c>
      <c r="B175" s="2" t="n">
        <v>3012.96</v>
      </c>
      <c r="C175" s="1" t="n">
        <v>13.47</v>
      </c>
      <c r="D175" s="1" t="n">
        <v>20</v>
      </c>
      <c r="E175" s="4" t="n">
        <f aca="false">D175*C175</f>
        <v>269.4</v>
      </c>
      <c r="F175" s="3" t="n">
        <v>3.72399032</v>
      </c>
      <c r="G175" s="4" t="n">
        <v>13.8232751299183</v>
      </c>
      <c r="I175" s="3"/>
    </row>
    <row r="176" customFormat="false" ht="13.8" hidden="false" customHeight="false" outlineLevel="0" collapsed="false">
      <c r="A176" s="1" t="n">
        <v>1796</v>
      </c>
      <c r="B176" s="2" t="n">
        <v>3038.86</v>
      </c>
      <c r="C176" s="1" t="n">
        <v>14</v>
      </c>
      <c r="D176" s="1" t="n">
        <v>20</v>
      </c>
      <c r="E176" s="4" t="n">
        <f aca="false">D176*C176</f>
        <v>280</v>
      </c>
      <c r="F176" s="3" t="n">
        <v>3.84646016</v>
      </c>
      <c r="G176" s="4" t="n">
        <v>13.7373577142857</v>
      </c>
      <c r="I176" s="3"/>
    </row>
    <row r="177" customFormat="false" ht="13.8" hidden="false" customHeight="false" outlineLevel="0" collapsed="false">
      <c r="A177" s="1" t="n">
        <v>1800</v>
      </c>
      <c r="B177" s="2" t="n">
        <v>3088.05</v>
      </c>
      <c r="C177" s="1" t="n">
        <v>14.46</v>
      </c>
      <c r="D177" s="1" t="n">
        <v>20</v>
      </c>
      <c r="E177" s="4" t="n">
        <f aca="false">D177*C177</f>
        <v>289.2</v>
      </c>
      <c r="F177" s="3" t="n">
        <v>3.96439408</v>
      </c>
      <c r="G177" s="4" t="n">
        <v>13.7081399723375</v>
      </c>
      <c r="I177" s="3"/>
    </row>
    <row r="178" customFormat="false" ht="13.8" hidden="false" customHeight="false" outlineLevel="0" collapsed="false">
      <c r="A178" s="1" t="n">
        <v>1804</v>
      </c>
      <c r="B178" s="2" t="n">
        <v>3122.34</v>
      </c>
      <c r="C178" s="1" t="n">
        <v>15.07</v>
      </c>
      <c r="D178" s="1" t="n">
        <v>20</v>
      </c>
      <c r="E178" s="4" t="n">
        <f aca="false">D178*C178</f>
        <v>301.4</v>
      </c>
      <c r="F178" s="3" t="n">
        <v>4.10047168</v>
      </c>
      <c r="G178" s="4" t="n">
        <v>13.6047500995355</v>
      </c>
      <c r="I178" s="3"/>
    </row>
    <row r="179" customFormat="false" ht="13.8" hidden="false" customHeight="false" outlineLevel="0" collapsed="false">
      <c r="A179" s="1" t="n">
        <v>1808</v>
      </c>
      <c r="B179" s="2" t="n">
        <v>3182.4</v>
      </c>
      <c r="C179" s="1" t="n">
        <v>15.64</v>
      </c>
      <c r="D179" s="1" t="n">
        <v>20</v>
      </c>
      <c r="E179" s="4" t="n">
        <f aca="false">D179*C179</f>
        <v>312.8</v>
      </c>
      <c r="F179" s="3" t="n">
        <v>4.20933376</v>
      </c>
      <c r="G179" s="4" t="n">
        <v>13.4569493606138</v>
      </c>
      <c r="I179" s="3"/>
    </row>
    <row r="180" customFormat="false" ht="13.8" hidden="false" customHeight="false" outlineLevel="0" collapsed="false">
      <c r="A180" s="1" t="n">
        <v>1812</v>
      </c>
      <c r="B180" s="2" t="n">
        <v>3221.19</v>
      </c>
      <c r="C180" s="1" t="n">
        <v>16.27</v>
      </c>
      <c r="D180" s="1" t="n">
        <v>20</v>
      </c>
      <c r="E180" s="4" t="n">
        <f aca="false">D180*C180</f>
        <v>325.4</v>
      </c>
      <c r="F180" s="3" t="n">
        <v>4.32726768</v>
      </c>
      <c r="G180" s="4" t="n">
        <v>13.298302642901</v>
      </c>
      <c r="I180" s="3"/>
    </row>
    <row r="181" customFormat="false" ht="13.8" hidden="false" customHeight="false" outlineLevel="0" collapsed="false">
      <c r="A181" s="1" t="n">
        <v>1816</v>
      </c>
      <c r="B181" s="2" t="n">
        <v>3267.78</v>
      </c>
      <c r="C181" s="1" t="n">
        <v>16.83</v>
      </c>
      <c r="D181" s="1" t="n">
        <v>20</v>
      </c>
      <c r="E181" s="4" t="n">
        <f aca="false">D181*C181</f>
        <v>336.6</v>
      </c>
      <c r="F181" s="3" t="n">
        <v>4.422522</v>
      </c>
      <c r="G181" s="4" t="n">
        <v>13.1388057040998</v>
      </c>
      <c r="I181" s="3"/>
    </row>
    <row r="182" customFormat="false" ht="13.8" hidden="false" customHeight="false" outlineLevel="0" collapsed="false">
      <c r="A182" s="1" t="n">
        <v>1820</v>
      </c>
      <c r="B182" s="2" t="n">
        <v>3304.38</v>
      </c>
      <c r="C182" s="1" t="n">
        <v>17.51</v>
      </c>
      <c r="D182" s="1" t="n">
        <v>20</v>
      </c>
      <c r="E182" s="4" t="n">
        <f aca="false">D182*C182</f>
        <v>350.2</v>
      </c>
      <c r="F182" s="3" t="n">
        <v>4.55406368</v>
      </c>
      <c r="G182" s="4" t="n">
        <v>13.0041795545403</v>
      </c>
      <c r="I182" s="3"/>
    </row>
    <row r="183" customFormat="false" ht="13.8" hidden="false" customHeight="false" outlineLevel="0" collapsed="false">
      <c r="A183" s="1" t="n">
        <v>1824</v>
      </c>
      <c r="B183" s="2" t="n">
        <v>3340.51</v>
      </c>
      <c r="C183" s="1" t="n">
        <v>18.07</v>
      </c>
      <c r="D183" s="1" t="n">
        <v>20</v>
      </c>
      <c r="E183" s="4" t="n">
        <f aca="false">D183*C183</f>
        <v>361.4</v>
      </c>
      <c r="F183" s="3" t="n">
        <v>4.69921312</v>
      </c>
      <c r="G183" s="4" t="n">
        <v>13.0028033204206</v>
      </c>
      <c r="I183" s="3"/>
    </row>
    <row r="184" customFormat="false" ht="13.8" hidden="false" customHeight="false" outlineLevel="0" collapsed="false">
      <c r="A184" s="1" t="n">
        <v>1828</v>
      </c>
      <c r="B184" s="2" t="n">
        <v>3380.38</v>
      </c>
      <c r="C184" s="1" t="n">
        <v>18.69</v>
      </c>
      <c r="D184" s="1" t="n">
        <v>20</v>
      </c>
      <c r="E184" s="4" t="n">
        <f aca="false">D184*C184</f>
        <v>373.8</v>
      </c>
      <c r="F184" s="3" t="n">
        <v>4.82168296</v>
      </c>
      <c r="G184" s="4" t="n">
        <v>12.899098341359</v>
      </c>
      <c r="I184" s="3"/>
    </row>
    <row r="185" customFormat="false" ht="13.8" hidden="false" customHeight="false" outlineLevel="0" collapsed="false">
      <c r="A185" s="1" t="n">
        <v>1832</v>
      </c>
      <c r="B185" s="2" t="n">
        <v>3418.33</v>
      </c>
      <c r="C185" s="1" t="n">
        <v>19.3</v>
      </c>
      <c r="D185" s="1" t="n">
        <v>20</v>
      </c>
      <c r="E185" s="4" t="n">
        <f aca="false">D185*C185</f>
        <v>386</v>
      </c>
      <c r="F185" s="3" t="n">
        <v>4.93054504</v>
      </c>
      <c r="G185" s="4" t="n">
        <v>12.773432746114</v>
      </c>
      <c r="I185" s="3"/>
    </row>
    <row r="186" customFormat="false" ht="13.8" hidden="false" customHeight="false" outlineLevel="0" collapsed="false">
      <c r="A186" s="1" t="n">
        <v>1836</v>
      </c>
      <c r="B186" s="2" t="n">
        <v>3453.14</v>
      </c>
      <c r="C186" s="1" t="n">
        <v>19.98</v>
      </c>
      <c r="D186" s="1" t="n">
        <v>20</v>
      </c>
      <c r="E186" s="4" t="n">
        <f aca="false">D186*C186</f>
        <v>399.6</v>
      </c>
      <c r="F186" s="3" t="n">
        <v>5.02126344</v>
      </c>
      <c r="G186" s="4" t="n">
        <v>12.5657243243243</v>
      </c>
      <c r="I186" s="3"/>
    </row>
    <row r="187" customFormat="false" ht="13.8" hidden="false" customHeight="false" outlineLevel="0" collapsed="false">
      <c r="A187" s="1" t="n">
        <v>1840</v>
      </c>
      <c r="B187" s="2" t="n">
        <v>3480.93</v>
      </c>
      <c r="C187" s="1" t="n">
        <v>20.63</v>
      </c>
      <c r="D187" s="1" t="n">
        <v>20</v>
      </c>
      <c r="E187" s="4" t="n">
        <f aca="false">D187*C187</f>
        <v>412.6</v>
      </c>
      <c r="F187" s="3" t="n">
        <v>5.14373328</v>
      </c>
      <c r="G187" s="4" t="n">
        <v>12.4666342220068</v>
      </c>
      <c r="I187" s="3"/>
    </row>
    <row r="188" customFormat="false" ht="13.8" hidden="false" customHeight="false" outlineLevel="0" collapsed="false">
      <c r="A188" s="1" t="n">
        <v>1844</v>
      </c>
      <c r="B188" s="2" t="n">
        <v>3518.96</v>
      </c>
      <c r="C188" s="1" t="n">
        <v>21.21</v>
      </c>
      <c r="D188" s="1" t="n">
        <v>20</v>
      </c>
      <c r="E188" s="4" t="n">
        <f aca="false">D188*C188</f>
        <v>424.2</v>
      </c>
      <c r="F188" s="3" t="n">
        <v>5.20270024</v>
      </c>
      <c r="G188" s="4" t="n">
        <v>12.2647341819896</v>
      </c>
      <c r="I188" s="3"/>
    </row>
    <row r="189" customFormat="false" ht="13.8" hidden="false" customHeight="false" outlineLevel="0" collapsed="false">
      <c r="A189" s="1" t="n">
        <v>1848</v>
      </c>
      <c r="B189" s="2" t="n">
        <v>3560.94</v>
      </c>
      <c r="C189" s="1" t="n">
        <v>21.88</v>
      </c>
      <c r="D189" s="1" t="n">
        <v>20</v>
      </c>
      <c r="E189" s="4" t="n">
        <f aca="false">D189*C189</f>
        <v>437.6</v>
      </c>
      <c r="F189" s="3" t="n">
        <v>5.39320888</v>
      </c>
      <c r="G189" s="4" t="n">
        <v>12.3245175502742</v>
      </c>
      <c r="I189" s="3"/>
    </row>
    <row r="190" customFormat="false" ht="13.8" hidden="false" customHeight="false" outlineLevel="0" collapsed="false">
      <c r="A190" s="1" t="n">
        <v>1852</v>
      </c>
      <c r="B190" s="2" t="n">
        <v>3593.42</v>
      </c>
      <c r="C190" s="1" t="n">
        <v>22.49</v>
      </c>
      <c r="D190" s="1" t="n">
        <v>20</v>
      </c>
      <c r="E190" s="4" t="n">
        <f aca="false">D190*C190</f>
        <v>449.8</v>
      </c>
      <c r="F190" s="3" t="n">
        <v>5.52021464</v>
      </c>
      <c r="G190" s="4" t="n">
        <v>12.2725981325033</v>
      </c>
      <c r="I190" s="3"/>
    </row>
    <row r="191" customFormat="false" ht="13.8" hidden="false" customHeight="false" outlineLevel="0" collapsed="false">
      <c r="A191" s="1" t="n">
        <v>1856</v>
      </c>
      <c r="B191" s="2" t="n">
        <v>3614</v>
      </c>
      <c r="C191" s="1" t="n">
        <v>23.2</v>
      </c>
      <c r="D191" s="1" t="n">
        <v>20</v>
      </c>
      <c r="E191" s="4" t="n">
        <f aca="false">D191*C191</f>
        <v>464</v>
      </c>
      <c r="F191" s="3" t="n">
        <v>5.62000488</v>
      </c>
      <c r="G191" s="4" t="n">
        <v>12.1120794827586</v>
      </c>
      <c r="I191" s="3"/>
    </row>
    <row r="192" customFormat="false" ht="13.8" hidden="false" customHeight="false" outlineLevel="0" collapsed="false">
      <c r="A192" s="1" t="n">
        <v>1860</v>
      </c>
      <c r="B192" s="2" t="n">
        <v>3659.78</v>
      </c>
      <c r="C192" s="1" t="n">
        <v>23.8</v>
      </c>
      <c r="D192" s="1" t="n">
        <v>20</v>
      </c>
      <c r="E192" s="4" t="n">
        <f aca="false">D192*C192</f>
        <v>476</v>
      </c>
      <c r="F192" s="3" t="n">
        <v>5.71072328</v>
      </c>
      <c r="G192" s="4" t="n">
        <v>11.9973178151261</v>
      </c>
      <c r="I192" s="3"/>
    </row>
    <row r="193" customFormat="false" ht="13.8" hidden="false" customHeight="false" outlineLevel="0" collapsed="false">
      <c r="A193" s="1" t="n">
        <v>1864</v>
      </c>
      <c r="B193" s="2" t="n">
        <v>3683.93</v>
      </c>
      <c r="C193" s="1" t="n">
        <v>24.55</v>
      </c>
      <c r="D193" s="1" t="n">
        <v>20</v>
      </c>
      <c r="E193" s="4" t="n">
        <f aca="false">D193*C193</f>
        <v>491</v>
      </c>
      <c r="F193" s="3" t="n">
        <v>5.81504944</v>
      </c>
      <c r="G193" s="4" t="n">
        <v>11.8432778818737</v>
      </c>
      <c r="I193" s="3"/>
    </row>
    <row r="194" customFormat="false" ht="13.8" hidden="false" customHeight="false" outlineLevel="0" collapsed="false">
      <c r="A194" s="1" t="n">
        <v>1868</v>
      </c>
      <c r="B194" s="2" t="n">
        <v>3720.9</v>
      </c>
      <c r="C194" s="1" t="n">
        <v>25.19</v>
      </c>
      <c r="D194" s="1" t="n">
        <v>20</v>
      </c>
      <c r="E194" s="4" t="n">
        <f aca="false">D194*C194</f>
        <v>503.8</v>
      </c>
      <c r="F194" s="3" t="n">
        <v>5.92844744</v>
      </c>
      <c r="G194" s="4" t="n">
        <v>11.7674621675268</v>
      </c>
      <c r="I194" s="3"/>
    </row>
    <row r="195" customFormat="false" ht="13.8" hidden="false" customHeight="false" outlineLevel="0" collapsed="false">
      <c r="A195" s="1" t="n">
        <v>1872</v>
      </c>
      <c r="B195" s="2" t="n">
        <v>3731.58</v>
      </c>
      <c r="C195" s="1" t="n">
        <v>25.95</v>
      </c>
      <c r="D195" s="1" t="n">
        <v>20</v>
      </c>
      <c r="E195" s="4" t="n">
        <f aca="false">D195*C195</f>
        <v>519</v>
      </c>
      <c r="F195" s="3" t="n">
        <v>6.05998912</v>
      </c>
      <c r="G195" s="4" t="n">
        <v>11.6762796146435</v>
      </c>
      <c r="I195" s="3"/>
    </row>
    <row r="196" customFormat="false" ht="13.8" hidden="false" customHeight="false" outlineLevel="0" collapsed="false">
      <c r="A196" s="1" t="n">
        <v>1876</v>
      </c>
      <c r="B196" s="2" t="n">
        <v>3778.31</v>
      </c>
      <c r="C196" s="1" t="n">
        <v>26.62</v>
      </c>
      <c r="D196" s="1" t="n">
        <v>20</v>
      </c>
      <c r="E196" s="4" t="n">
        <f aca="false">D196*C196</f>
        <v>532.4</v>
      </c>
      <c r="F196" s="3" t="n">
        <v>6.12802792</v>
      </c>
      <c r="G196" s="4" t="n">
        <v>11.5101951915853</v>
      </c>
      <c r="I196" s="3"/>
    </row>
    <row r="197" customFormat="false" ht="13.8" hidden="false" customHeight="false" outlineLevel="0" collapsed="false">
      <c r="A197" s="1" t="n">
        <v>1880</v>
      </c>
      <c r="B197" s="2" t="n">
        <v>3800.88</v>
      </c>
      <c r="C197" s="1" t="n">
        <v>27.55</v>
      </c>
      <c r="D197" s="1" t="n">
        <v>20</v>
      </c>
      <c r="E197" s="4" t="n">
        <f aca="false">D197*C197</f>
        <v>551</v>
      </c>
      <c r="F197" s="3" t="n">
        <v>6.25503368</v>
      </c>
      <c r="G197" s="4" t="n">
        <v>11.3521482395644</v>
      </c>
      <c r="I197" s="3"/>
    </row>
    <row r="198" customFormat="false" ht="13.8" hidden="false" customHeight="false" outlineLevel="0" collapsed="false">
      <c r="A198" s="1" t="n">
        <v>1884</v>
      </c>
      <c r="B198" s="2" t="n">
        <v>3836.65</v>
      </c>
      <c r="C198" s="1" t="n">
        <v>28.12</v>
      </c>
      <c r="D198" s="1" t="n">
        <v>20</v>
      </c>
      <c r="E198" s="4" t="n">
        <f aca="false">D198*C198</f>
        <v>562.4</v>
      </c>
      <c r="F198" s="3" t="n">
        <v>6.36389576</v>
      </c>
      <c r="G198" s="4" t="n">
        <v>11.3156041251778</v>
      </c>
      <c r="I198" s="3"/>
    </row>
    <row r="199" customFormat="false" ht="13.8" hidden="false" customHeight="false" outlineLevel="0" collapsed="false">
      <c r="A199" s="1" t="n">
        <v>1888</v>
      </c>
      <c r="B199" s="2" t="n">
        <v>3854.98</v>
      </c>
      <c r="C199" s="1" t="n">
        <v>28.95</v>
      </c>
      <c r="D199" s="1" t="n">
        <v>20</v>
      </c>
      <c r="E199" s="4" t="n">
        <f aca="false">D199*C199</f>
        <v>579</v>
      </c>
      <c r="F199" s="3" t="n">
        <v>6.45915008</v>
      </c>
      <c r="G199" s="4" t="n">
        <v>11.1556996200345</v>
      </c>
      <c r="I199" s="3"/>
    </row>
    <row r="200" customFormat="false" ht="13.8" hidden="false" customHeight="false" outlineLevel="0" collapsed="false">
      <c r="A200" s="1" t="n">
        <v>1892</v>
      </c>
      <c r="B200" s="2" t="n">
        <v>3876.51</v>
      </c>
      <c r="C200" s="1" t="n">
        <v>29.74</v>
      </c>
      <c r="D200" s="1" t="n">
        <v>20</v>
      </c>
      <c r="E200" s="4" t="n">
        <f aca="false">D200*C200</f>
        <v>594.8</v>
      </c>
      <c r="F200" s="3" t="n">
        <v>6.5544044</v>
      </c>
      <c r="G200" s="4" t="n">
        <v>11.0195097511769</v>
      </c>
      <c r="I200" s="3"/>
    </row>
    <row r="201" customFormat="false" ht="13.8" hidden="false" customHeight="false" outlineLevel="0" collapsed="false">
      <c r="A201" s="1" t="n">
        <v>1896</v>
      </c>
      <c r="B201" s="2" t="n">
        <v>3906.54</v>
      </c>
      <c r="C201" s="1" t="n">
        <v>30.46</v>
      </c>
      <c r="D201" s="1" t="n">
        <v>20</v>
      </c>
      <c r="E201" s="4" t="n">
        <f aca="false">D201*C201</f>
        <v>609.2</v>
      </c>
      <c r="F201" s="3" t="n">
        <v>6.6224432</v>
      </c>
      <c r="G201" s="4" t="n">
        <v>10.8707209455023</v>
      </c>
      <c r="I201" s="3"/>
    </row>
    <row r="202" customFormat="false" ht="13.8" hidden="false" customHeight="false" outlineLevel="0" collapsed="false">
      <c r="A202" s="1" t="n">
        <v>1900</v>
      </c>
      <c r="B202" s="2" t="n">
        <v>3930.97833333333</v>
      </c>
      <c r="C202" s="3" t="n">
        <v>31.2083333333333</v>
      </c>
      <c r="D202" s="1" t="n">
        <v>20</v>
      </c>
      <c r="E202" s="4" t="n">
        <v>624.166666666667</v>
      </c>
      <c r="F202" s="3" t="n">
        <v>6.72223344</v>
      </c>
      <c r="G202" s="4" t="n">
        <v>10.7699372167166</v>
      </c>
      <c r="I20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2019-09-14T02:28:19Z</dcterms:created>
  <dc:creator>Agamemnon</dc:creator>
  <dc:description/>
  <dc:language>en-GB</dc:language>
  <cp:lastModifiedBy/>
  <dcterms:modified xsi:type="dcterms:W3CDTF">2026-05-04T08:32:40Z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